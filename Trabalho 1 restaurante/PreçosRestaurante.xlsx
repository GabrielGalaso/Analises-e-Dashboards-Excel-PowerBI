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balhos Galaso\Trabalhos Excel e Power Bi\Trabalho 1 restaurante\"/>
    </mc:Choice>
  </mc:AlternateContent>
  <xr:revisionPtr revIDLastSave="0" documentId="13_ncr:1_{0081987E-FA57-433B-827A-B3C1D6F86648}" xr6:coauthVersionLast="47" xr6:coauthVersionMax="47" xr10:uidLastSave="{00000000-0000-0000-0000-000000000000}"/>
  <bookViews>
    <workbookView xWindow="-120" yWindow="-120" windowWidth="29040" windowHeight="15840" activeTab="2" xr2:uid="{8870B942-0E92-4ED1-BFF6-7A65003AAC90}"/>
  </bookViews>
  <sheets>
    <sheet name="Data" sheetId="1" r:id="rId1"/>
    <sheet name="Análise" sheetId="2" r:id="rId2"/>
    <sheet name="Dashboard" sheetId="5" r:id="rId3"/>
  </sheets>
  <definedNames>
    <definedName name="SegmentaçãodeDados_City">#N/A</definedName>
    <definedName name="SegmentaçãodeDados_Purchase_Type">#N/A</definedName>
  </definedNames>
  <calcPr calcId="191029"/>
  <pivotCaches>
    <pivotCache cacheId="0" r:id="rId4"/>
    <pivotCache cacheId="1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0" i="2" l="1"/>
  <c r="I32" i="2" s="1"/>
  <c r="I33" i="2" s="1"/>
  <c r="I34" i="2"/>
  <c r="I31" i="2"/>
  <c r="F33" i="2"/>
  <c r="N2" i="2"/>
</calcChain>
</file>

<file path=xl/sharedStrings.xml><?xml version="1.0" encoding="utf-8"?>
<sst xmlns="http://schemas.openxmlformats.org/spreadsheetml/2006/main" count="2610" uniqueCount="48">
  <si>
    <t>Order ID</t>
  </si>
  <si>
    <t>Date</t>
  </si>
  <si>
    <t>Product</t>
  </si>
  <si>
    <t xml:space="preserve"> Price </t>
  </si>
  <si>
    <t>Quantity</t>
  </si>
  <si>
    <t>Purchase Type</t>
  </si>
  <si>
    <t>Payment Method</t>
  </si>
  <si>
    <t>Manager</t>
  </si>
  <si>
    <t>City</t>
  </si>
  <si>
    <t>Fries</t>
  </si>
  <si>
    <t xml:space="preserve">Online </t>
  </si>
  <si>
    <t xml:space="preserve"> Gift Card</t>
  </si>
  <si>
    <t>Tom Jackson</t>
  </si>
  <si>
    <t>London</t>
  </si>
  <si>
    <t>Beverages</t>
  </si>
  <si>
    <t>Pablo Perez</t>
  </si>
  <si>
    <t>Madrid</t>
  </si>
  <si>
    <t>Sides &amp; Other</t>
  </si>
  <si>
    <t xml:space="preserve">In-store </t>
  </si>
  <si>
    <t>Joao Silva</t>
  </si>
  <si>
    <t>Lisbon</t>
  </si>
  <si>
    <t>Burgers</t>
  </si>
  <si>
    <t xml:space="preserve"> Credit Card</t>
  </si>
  <si>
    <t>Walter Muller</t>
  </si>
  <si>
    <t>Berlin</t>
  </si>
  <si>
    <t>Chicken Sandwiches</t>
  </si>
  <si>
    <t>Remy Monet</t>
  </si>
  <si>
    <t>Paris</t>
  </si>
  <si>
    <t xml:space="preserve">Drive-thru </t>
  </si>
  <si>
    <t xml:space="preserve"> Cash</t>
  </si>
  <si>
    <t>Rótulos de Linha</t>
  </si>
  <si>
    <t xml:space="preserve">Soma de  Price </t>
  </si>
  <si>
    <t>Total Geral</t>
  </si>
  <si>
    <t>Soma de Quantity</t>
  </si>
  <si>
    <t>13/nov</t>
  </si>
  <si>
    <t>14/nov</t>
  </si>
  <si>
    <t>28/dez</t>
  </si>
  <si>
    <t>Soma de Faturamento</t>
  </si>
  <si>
    <t>Média</t>
  </si>
  <si>
    <t>Faturamento Total</t>
  </si>
  <si>
    <t>Total de qnt</t>
  </si>
  <si>
    <t>Total do preço</t>
  </si>
  <si>
    <t>Ticket Medio</t>
  </si>
  <si>
    <t>Total de pedido</t>
  </si>
  <si>
    <t>Preços</t>
  </si>
  <si>
    <t>Coluna1</t>
  </si>
  <si>
    <t>Soma de Coluna1</t>
  </si>
  <si>
    <t>Contagem de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</si>
</sst>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[$$-409]* #,##0.00_ ;_-[$$-409]* \-#,##0.00\ ;_-[$$-409]* &quot;-&quot;??_ ;_-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2" fillId="2" borderId="4" xfId="0" applyFont="1" applyFill="1" applyBorder="1"/>
    <xf numFmtId="164" fontId="0" fillId="0" borderId="0" xfId="1" applyNumberFormat="1" applyFont="1"/>
    <xf numFmtId="4" fontId="0" fillId="0" borderId="0" xfId="0" applyNumberFormat="1"/>
    <xf numFmtId="164" fontId="2" fillId="2" borderId="4" xfId="0" applyNumberFormat="1" applyFont="1" applyFill="1" applyBorder="1"/>
    <xf numFmtId="0" fontId="2" fillId="0" borderId="4" xfId="0" applyFont="1" applyBorder="1" applyAlignment="1">
      <alignment horizontal="left"/>
    </xf>
    <xf numFmtId="164" fontId="2" fillId="0" borderId="4" xfId="0" applyNumberFormat="1" applyFont="1" applyBorder="1"/>
    <xf numFmtId="0" fontId="2" fillId="2" borderId="5" xfId="0" applyFont="1" applyFill="1" applyBorder="1" applyAlignment="1">
      <alignment horizontal="left"/>
    </xf>
    <xf numFmtId="164" fontId="2" fillId="2" borderId="5" xfId="0" applyNumberFormat="1" applyFont="1" applyFill="1" applyBorder="1"/>
    <xf numFmtId="0" fontId="0" fillId="3" borderId="6" xfId="0" applyFill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2" borderId="1" xfId="0" applyFont="1" applyFill="1" applyBorder="1" applyAlignment="1">
      <alignment horizontal="center"/>
    </xf>
    <xf numFmtId="14" fontId="0" fillId="2" borderId="2" xfId="0" applyNumberFormat="1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164" fontId="0" fillId="2" borderId="2" xfId="0" applyNumberFormat="1" applyFont="1" applyFill="1" applyBorder="1" applyAlignment="1">
      <alignment horizontal="center"/>
    </xf>
    <xf numFmtId="2" fontId="0" fillId="2" borderId="2" xfId="0" applyNumberFormat="1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14" fontId="0" fillId="0" borderId="2" xfId="0" applyNumberFormat="1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164" fontId="0" fillId="0" borderId="2" xfId="0" applyNumberFormat="1" applyFont="1" applyBorder="1" applyAlignment="1">
      <alignment horizontal="center"/>
    </xf>
    <xf numFmtId="2" fontId="0" fillId="0" borderId="2" xfId="0" applyNumberFormat="1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0" xfId="0" applyNumberFormat="1"/>
  </cellXfs>
  <cellStyles count="2">
    <cellStyle name="Normal" xfId="0" builtinId="0"/>
    <cellStyle name="Porcentagem" xfId="1" builtinId="5"/>
  </cellStyles>
  <dxfs count="29">
    <dxf>
      <font>
        <color rgb="FF006100"/>
      </font>
      <fill>
        <patternFill>
          <bgColor rgb="FFC6EFCE"/>
        </patternFill>
      </fill>
    </dxf>
    <dxf>
      <numFmt numFmtId="164" formatCode="_-[$$-409]* #,##0.00_ ;_-[$$-409]* \-#,##0.00\ ;_-[$$-409]* &quot;-&quot;??_ ;_-@_ "/>
    </dxf>
    <dxf>
      <alignment horizontal="center" vertical="bottom" textRotation="0" wrapText="0" indent="0" justifyLastLine="0" shrinkToFit="0" readingOrder="0"/>
    </dxf>
    <dxf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</dxf>
    <dxf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</dxf>
    <dxf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</dxf>
    <dxf>
      <numFmt numFmtId="0" formatCode="General"/>
    </dxf>
    <dxf>
      <numFmt numFmtId="4" formatCode="#,##0.00"/>
    </dxf>
    <dxf>
      <numFmt numFmtId="0" formatCode="General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Base 2" pivot="0" table="0" count="10" xr9:uid="{817A4170-A140-45D7-B314-0D025636F232}">
      <tableStyleElement type="wholeTable" dxfId="28"/>
      <tableStyleElement type="headerRow" dxfId="27"/>
    </tableStyle>
  </tableStyles>
  <colors>
    <mruColors>
      <color rgb="FF836FFF"/>
      <color rgb="FF211951"/>
      <color rgb="FF15F5BA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8" tint="-0.249977111117893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theme="8" tint="0.59999389629810485"/>
            </left>
            <right style="thin">
              <color theme="8" tint="0.59999389629810485"/>
            </right>
            <top style="thin">
              <color theme="8" tint="0.59999389629810485"/>
            </top>
            <bottom style="thin">
              <color theme="8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8"/>
              <bgColor theme="8"/>
            </patternFill>
          </fill>
          <border>
            <left style="thin">
              <color theme="8"/>
            </left>
            <right style="thin">
              <color theme="8"/>
            </right>
            <top style="thin">
              <color theme="8"/>
            </top>
            <bottom style="thin">
              <color theme="8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Base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[PreçosRestaurante.xlsx]Análise!Tabela dinâmica4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de Vendas por Cidade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Análise!$E$4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Análise!$D$5:$D$10</c:f>
              <c:strCache>
                <c:ptCount val="5"/>
                <c:pt idx="0">
                  <c:v>Lisbon</c:v>
                </c:pt>
                <c:pt idx="1">
                  <c:v>London</c:v>
                </c:pt>
                <c:pt idx="2">
                  <c:v>Madrid</c:v>
                </c:pt>
                <c:pt idx="3">
                  <c:v>Berlin</c:v>
                </c:pt>
                <c:pt idx="4">
                  <c:v>Paris</c:v>
                </c:pt>
              </c:strCache>
            </c:strRef>
          </c:cat>
          <c:val>
            <c:numRef>
              <c:f>Análise!$E$5:$E$10</c:f>
              <c:numCache>
                <c:formatCode>#,##0.00</c:formatCode>
                <c:ptCount val="5"/>
                <c:pt idx="0">
                  <c:v>35752.840000000004</c:v>
                </c:pt>
                <c:pt idx="1">
                  <c:v>33535.339999999997</c:v>
                </c:pt>
                <c:pt idx="2">
                  <c:v>20444.25</c:v>
                </c:pt>
                <c:pt idx="3">
                  <c:v>14771.349999999999</c:v>
                </c:pt>
                <c:pt idx="4">
                  <c:v>12491.53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D5-4E03-AA2F-3D2458671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9091888"/>
        <c:axId val="1858796960"/>
      </c:barChart>
      <c:catAx>
        <c:axId val="195909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8796960"/>
        <c:crosses val="autoZero"/>
        <c:auto val="1"/>
        <c:lblAlgn val="ctr"/>
        <c:lblOffset val="100"/>
        <c:noMultiLvlLbl val="0"/>
      </c:catAx>
      <c:valAx>
        <c:axId val="185879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9091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[PreçosRestaurante.xlsx]Análise!Tabela dinâmica5</c:name>
    <c:fmtId val="2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Análise!$I$3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Análise!$H$4:$H$9</c:f>
              <c:strCache>
                <c:ptCount val="5"/>
                <c:pt idx="0">
                  <c:v>Sides &amp; Other</c:v>
                </c:pt>
                <c:pt idx="1">
                  <c:v>Fries</c:v>
                </c:pt>
                <c:pt idx="2">
                  <c:v>Chicken Sandwiches</c:v>
                </c:pt>
                <c:pt idx="3">
                  <c:v>Burgers</c:v>
                </c:pt>
                <c:pt idx="4">
                  <c:v>Beverages</c:v>
                </c:pt>
              </c:strCache>
            </c:strRef>
          </c:cat>
          <c:val>
            <c:numRef>
              <c:f>Análise!$I$4:$I$9</c:f>
              <c:numCache>
                <c:formatCode>#,##0.00</c:formatCode>
                <c:ptCount val="5"/>
                <c:pt idx="0">
                  <c:v>9819.5999999999913</c:v>
                </c:pt>
                <c:pt idx="1">
                  <c:v>32034.339999999986</c:v>
                </c:pt>
                <c:pt idx="2">
                  <c:v>11135.920000000002</c:v>
                </c:pt>
                <c:pt idx="3">
                  <c:v>29022.309999999994</c:v>
                </c:pt>
                <c:pt idx="4">
                  <c:v>34983.140000000007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19-4E6D-87A6-075172D9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8661167"/>
        <c:axId val="1218653967"/>
      </c:barChart>
      <c:catAx>
        <c:axId val="1218661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8653967"/>
        <c:crosses val="autoZero"/>
        <c:auto val="1"/>
        <c:lblAlgn val="ctr"/>
        <c:lblOffset val="100"/>
        <c:noMultiLvlLbl val="0"/>
      </c:catAx>
      <c:valAx>
        <c:axId val="1218653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8661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[PreçosRestaurante.xlsx]Análise!Tabela dinâmica6</c:name>
    <c:fmtId val="3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Análise!$H$39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211-4107-A1B3-256FFEC7B5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211-4107-A1B3-256FFEC7B5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211-4107-A1B3-256FFEC7B56D}"/>
              </c:ext>
            </c:extLst>
          </c:dPt>
          <c:cat>
            <c:strRef>
              <c:f>Análise!$G$40:$G$43</c:f>
              <c:strCache>
                <c:ptCount val="3"/>
                <c:pt idx="0">
                  <c:v>Drive-thru </c:v>
                </c:pt>
                <c:pt idx="1">
                  <c:v>In-store </c:v>
                </c:pt>
                <c:pt idx="2">
                  <c:v>Online </c:v>
                </c:pt>
              </c:strCache>
            </c:strRef>
          </c:cat>
          <c:val>
            <c:numRef>
              <c:f>Análise!$H$40:$H$43</c:f>
              <c:numCache>
                <c:formatCode>General</c:formatCode>
                <c:ptCount val="3"/>
                <c:pt idx="0">
                  <c:v>61</c:v>
                </c:pt>
                <c:pt idx="1">
                  <c:v>86</c:v>
                </c:pt>
                <c:pt idx="2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F6-4903-927E-03038B84A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[PreçosRestaurante.xlsx]Análise!Tabela dinâmica7</c:name>
    <c:fmtId val="5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Análise!$H$47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strRef>
              <c:f>Análise!$G$48:$G$53</c:f>
              <c:strCache>
                <c:ptCount val="5"/>
                <c:pt idx="0">
                  <c:v>Joao Silva</c:v>
                </c:pt>
                <c:pt idx="1">
                  <c:v>Pablo Perez</c:v>
                </c:pt>
                <c:pt idx="2">
                  <c:v>Remy Monet</c:v>
                </c:pt>
                <c:pt idx="3">
                  <c:v>Tom Jackson</c:v>
                </c:pt>
                <c:pt idx="4">
                  <c:v>Walter Muller</c:v>
                </c:pt>
              </c:strCache>
            </c:strRef>
          </c:cat>
          <c:val>
            <c:numRef>
              <c:f>Análise!$H$48:$H$53</c:f>
              <c:numCache>
                <c:formatCode>General</c:formatCode>
                <c:ptCount val="5"/>
                <c:pt idx="0">
                  <c:v>546.62000000000012</c:v>
                </c:pt>
                <c:pt idx="1">
                  <c:v>331.82000000000005</c:v>
                </c:pt>
                <c:pt idx="2">
                  <c:v>198.28</c:v>
                </c:pt>
                <c:pt idx="3">
                  <c:v>521.05000000000007</c:v>
                </c:pt>
                <c:pt idx="4">
                  <c:v>206.22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F1-434F-838A-FE73B4D9C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6019935"/>
        <c:axId val="1404725615"/>
      </c:areaChart>
      <c:catAx>
        <c:axId val="12260199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4725615"/>
        <c:crosses val="autoZero"/>
        <c:auto val="1"/>
        <c:lblAlgn val="ctr"/>
        <c:lblOffset val="100"/>
        <c:noMultiLvlLbl val="0"/>
      </c:catAx>
      <c:valAx>
        <c:axId val="140472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260199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[PreçosRestaurante.xlsx]Análise!Tabela dinâmica4</c:name>
    <c:fmtId val="3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rgbClr val="211951"/>
              </a:gs>
              <a:gs pos="100000">
                <a:srgbClr val="836FFF"/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numFmt formatCode="[$$-540A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Análise!$E$4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rgbClr val="211951"/>
                </a:gs>
                <a:gs pos="100000">
                  <a:srgbClr val="836FFF"/>
                </a:gs>
              </a:gsLst>
              <a:lin ang="5400000" scaled="1"/>
              <a:tileRect/>
            </a:gradFill>
            <a:ln>
              <a:noFill/>
            </a:ln>
            <a:effectLst/>
          </c:spPr>
          <c:invertIfNegative val="0"/>
          <c:dLbls>
            <c:numFmt formatCode="[$$-540A]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Análise!$D$5:$D$10</c:f>
              <c:strCache>
                <c:ptCount val="5"/>
                <c:pt idx="0">
                  <c:v>Lisbon</c:v>
                </c:pt>
                <c:pt idx="1">
                  <c:v>London</c:v>
                </c:pt>
                <c:pt idx="2">
                  <c:v>Madrid</c:v>
                </c:pt>
                <c:pt idx="3">
                  <c:v>Berlin</c:v>
                </c:pt>
                <c:pt idx="4">
                  <c:v>Paris</c:v>
                </c:pt>
              </c:strCache>
            </c:strRef>
          </c:cat>
          <c:val>
            <c:numRef>
              <c:f>Análise!$E$5:$E$10</c:f>
              <c:numCache>
                <c:formatCode>#,##0.00</c:formatCode>
                <c:ptCount val="5"/>
                <c:pt idx="0">
                  <c:v>35752.840000000004</c:v>
                </c:pt>
                <c:pt idx="1">
                  <c:v>33535.339999999997</c:v>
                </c:pt>
                <c:pt idx="2">
                  <c:v>20444.25</c:v>
                </c:pt>
                <c:pt idx="3">
                  <c:v>14771.349999999999</c:v>
                </c:pt>
                <c:pt idx="4">
                  <c:v>12491.53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95-4B91-833D-123B550A6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9091888"/>
        <c:axId val="1858796960"/>
      </c:barChart>
      <c:catAx>
        <c:axId val="195909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8796960"/>
        <c:crosses val="autoZero"/>
        <c:auto val="1"/>
        <c:lblAlgn val="ctr"/>
        <c:lblOffset val="100"/>
        <c:noMultiLvlLbl val="0"/>
      </c:catAx>
      <c:valAx>
        <c:axId val="1858796960"/>
        <c:scaling>
          <c:orientation val="minMax"/>
        </c:scaling>
        <c:delete val="0"/>
        <c:axPos val="l"/>
        <c:numFmt formatCode="[$$-540A]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9091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[PreçosRestaurante.xlsx]Análise!Tabela dinâmica5</c:name>
    <c:fmtId val="2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rgbClr val="211951"/>
              </a:gs>
              <a:gs pos="100000">
                <a:srgbClr val="836FFF"/>
              </a:gs>
            </a:gsLst>
            <a:lin ang="81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numFmt formatCode="[$$-540A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flip="none" rotWithShape="1">
            <a:gsLst>
              <a:gs pos="0">
                <a:srgbClr val="211951"/>
              </a:gs>
              <a:gs pos="100000">
                <a:srgbClr val="836FFF"/>
              </a:gs>
            </a:gsLst>
            <a:lin ang="8100000" scaled="1"/>
            <a:tileRect/>
          </a:gra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Análise!$I$3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rgbClr val="211951"/>
                </a:gs>
                <a:gs pos="100000">
                  <a:srgbClr val="836FFF"/>
                </a:gs>
              </a:gsLst>
              <a:lin ang="8100000" scaled="1"/>
              <a:tileRect/>
            </a:gradFill>
            <a:ln>
              <a:noFill/>
            </a:ln>
            <a:effectLst/>
          </c:spPr>
          <c:invertIfNegative val="0"/>
          <c:dLbls>
            <c:numFmt formatCode="[$$-540A]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Análise!$H$4:$H$9</c:f>
              <c:strCache>
                <c:ptCount val="5"/>
                <c:pt idx="0">
                  <c:v>Sides &amp; Other</c:v>
                </c:pt>
                <c:pt idx="1">
                  <c:v>Fries</c:v>
                </c:pt>
                <c:pt idx="2">
                  <c:v>Chicken Sandwiches</c:v>
                </c:pt>
                <c:pt idx="3">
                  <c:v>Burgers</c:v>
                </c:pt>
                <c:pt idx="4">
                  <c:v>Beverages</c:v>
                </c:pt>
              </c:strCache>
            </c:strRef>
          </c:cat>
          <c:val>
            <c:numRef>
              <c:f>Análise!$I$4:$I$9</c:f>
              <c:numCache>
                <c:formatCode>#,##0.00</c:formatCode>
                <c:ptCount val="5"/>
                <c:pt idx="0">
                  <c:v>9819.5999999999913</c:v>
                </c:pt>
                <c:pt idx="1">
                  <c:v>32034.339999999986</c:v>
                </c:pt>
                <c:pt idx="2">
                  <c:v>11135.920000000002</c:v>
                </c:pt>
                <c:pt idx="3">
                  <c:v>29022.309999999994</c:v>
                </c:pt>
                <c:pt idx="4">
                  <c:v>34983.140000000007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38-41DC-988B-2A2AEDA33C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18661167"/>
        <c:axId val="1218653967"/>
      </c:barChart>
      <c:catAx>
        <c:axId val="121866116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8653967"/>
        <c:crosses val="autoZero"/>
        <c:auto val="1"/>
        <c:lblAlgn val="ctr"/>
        <c:lblOffset val="100"/>
        <c:noMultiLvlLbl val="0"/>
      </c:catAx>
      <c:valAx>
        <c:axId val="1218653967"/>
        <c:scaling>
          <c:orientation val="minMax"/>
        </c:scaling>
        <c:delete val="1"/>
        <c:axPos val="b"/>
        <c:numFmt formatCode="#,##0.00" sourceLinked="1"/>
        <c:majorTickMark val="out"/>
        <c:minorTickMark val="none"/>
        <c:tickLblPos val="nextTo"/>
        <c:crossAx val="1218661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[PreçosRestaurante.xlsx]Análise!Tabela dinâmica6</c:name>
    <c:fmtId val="53"/>
  </c:pivotSource>
  <c:chart>
    <c:autoTitleDeleted val="1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rgbClr val="FFC000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C000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rgbClr val="FF0000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rgbClr val="0070C0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6265429331729236"/>
          <c:y val="7.407407407407407E-2"/>
          <c:w val="0.73001081194527839"/>
          <c:h val="0.91666666666666663"/>
        </c:manualLayout>
      </c:layout>
      <c:pie3DChart>
        <c:varyColors val="1"/>
        <c:ser>
          <c:idx val="0"/>
          <c:order val="0"/>
          <c:tx>
            <c:strRef>
              <c:f>Análise!$H$39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</c:spPr>
          <c:dPt>
            <c:idx val="0"/>
            <c:bubble3D val="0"/>
            <c:spPr>
              <a:solidFill>
                <a:srgbClr val="FFC0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640-4359-B384-CFE914212BF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640-4359-B384-CFE914212BF6}"/>
              </c:ext>
            </c:extLst>
          </c:dPt>
          <c:dPt>
            <c:idx val="2"/>
            <c:bubble3D val="0"/>
            <c:spPr>
              <a:solidFill>
                <a:srgbClr val="0070C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640-4359-B384-CFE914212B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Análise!$G$40:$G$43</c:f>
              <c:strCache>
                <c:ptCount val="3"/>
                <c:pt idx="0">
                  <c:v>Drive-thru </c:v>
                </c:pt>
                <c:pt idx="1">
                  <c:v>In-store </c:v>
                </c:pt>
                <c:pt idx="2">
                  <c:v>Online </c:v>
                </c:pt>
              </c:strCache>
            </c:strRef>
          </c:cat>
          <c:val>
            <c:numRef>
              <c:f>Análise!$H$40:$H$43</c:f>
              <c:numCache>
                <c:formatCode>General</c:formatCode>
                <c:ptCount val="3"/>
                <c:pt idx="0">
                  <c:v>61</c:v>
                </c:pt>
                <c:pt idx="1">
                  <c:v>86</c:v>
                </c:pt>
                <c:pt idx="2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640-4359-B384-CFE914212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2075162230822019"/>
          <c:y val="0.76244130941965582"/>
          <c:w val="0.45887804481028693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1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[PreçosRestaurante.xlsx]Análise!Tabela dinâmica7</c:name>
    <c:fmtId val="5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flip="none" rotWithShape="1">
            <a:gsLst>
              <a:gs pos="0">
                <a:srgbClr val="002060"/>
              </a:gs>
              <a:gs pos="100000">
                <a:srgbClr val="7030A0">
                  <a:lumMod val="65000"/>
                  <a:lumOff val="35000"/>
                </a:srgbClr>
              </a:gs>
            </a:gsLst>
            <a:lin ang="5400000" scaled="1"/>
            <a:tileRect/>
          </a:gradFill>
          <a:ln w="25400">
            <a:noFill/>
          </a:ln>
          <a:effectLst/>
        </c:spPr>
        <c:marker>
          <c:symbol val="none"/>
        </c:marker>
        <c:dLbl>
          <c:idx val="0"/>
          <c:numFmt formatCode="[$$-540A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flip="none" rotWithShape="1">
            <a:gsLst>
              <a:gs pos="0">
                <a:srgbClr val="002060"/>
              </a:gs>
              <a:gs pos="100000">
                <a:srgbClr val="7030A0">
                  <a:lumMod val="65000"/>
                  <a:lumOff val="35000"/>
                </a:srgbClr>
              </a:gs>
            </a:gsLst>
            <a:lin ang="5400000" scaled="1"/>
            <a:tileRect/>
          </a:gradFill>
          <a:ln w="25400">
            <a:noFill/>
          </a:ln>
          <a:effectLst/>
        </c:spPr>
        <c:dLbl>
          <c:idx val="0"/>
          <c:layout>
            <c:manualLayout>
              <c:x val="-4.8850575449521455E-2"/>
              <c:y val="-6.4467234147532498E-2"/>
            </c:manualLayout>
          </c:layout>
          <c:numFmt formatCode="[$$-540A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flip="none" rotWithShape="1">
            <a:gsLst>
              <a:gs pos="0">
                <a:srgbClr val="002060"/>
              </a:gs>
              <a:gs pos="100000">
                <a:srgbClr val="7030A0">
                  <a:lumMod val="65000"/>
                  <a:lumOff val="35000"/>
                </a:srgbClr>
              </a:gs>
            </a:gsLst>
            <a:lin ang="5400000" scaled="1"/>
            <a:tileRect/>
          </a:gradFill>
          <a:ln w="25400">
            <a:noFill/>
          </a:ln>
          <a:effectLst/>
        </c:spPr>
        <c:dLbl>
          <c:idx val="0"/>
          <c:layout>
            <c:manualLayout>
              <c:x val="8.0332057405879703E-2"/>
              <c:y val="0.128934468295065"/>
            </c:manualLayout>
          </c:layout>
          <c:numFmt formatCode="[$$-540A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flip="none" rotWithShape="1">
            <a:gsLst>
              <a:gs pos="0">
                <a:srgbClr val="002060"/>
              </a:gs>
              <a:gs pos="100000">
                <a:srgbClr val="7030A0">
                  <a:lumMod val="65000"/>
                  <a:lumOff val="35000"/>
                </a:srgbClr>
              </a:gs>
            </a:gsLst>
            <a:lin ang="5400000" scaled="1"/>
            <a:tileRect/>
          </a:gradFill>
          <a:ln w="25400">
            <a:noFill/>
          </a:ln>
          <a:effectLst/>
        </c:spPr>
        <c:dLbl>
          <c:idx val="0"/>
          <c:layout>
            <c:manualLayout>
              <c:x val="-7.9607425545224859E-17"/>
              <c:y val="7.7360680977039006E-2"/>
            </c:manualLayout>
          </c:layout>
          <c:numFmt formatCode="[$$-540A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flip="none" rotWithShape="1">
            <a:gsLst>
              <a:gs pos="0">
                <a:srgbClr val="002060"/>
              </a:gs>
              <a:gs pos="100000">
                <a:srgbClr val="7030A0">
                  <a:lumMod val="65000"/>
                  <a:lumOff val="35000"/>
                </a:srgbClr>
              </a:gs>
            </a:gsLst>
            <a:lin ang="5400000" scaled="1"/>
            <a:tileRect/>
          </a:gradFill>
          <a:ln w="25400">
            <a:noFill/>
          </a:ln>
          <a:effectLst/>
        </c:spPr>
        <c:dLbl>
          <c:idx val="0"/>
          <c:layout>
            <c:manualLayout>
              <c:x val="0"/>
              <c:y val="1.2893446829506501E-2"/>
            </c:manualLayout>
          </c:layout>
          <c:numFmt formatCode="[$$-540A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flip="none" rotWithShape="1">
            <a:gsLst>
              <a:gs pos="0">
                <a:srgbClr val="002060"/>
              </a:gs>
              <a:gs pos="100000">
                <a:srgbClr val="7030A0">
                  <a:lumMod val="65000"/>
                  <a:lumOff val="35000"/>
                </a:srgbClr>
              </a:gs>
            </a:gsLst>
            <a:lin ang="5400000" scaled="1"/>
            <a:tileRect/>
          </a:gradFill>
          <a:ln w="25400">
            <a:noFill/>
          </a:ln>
          <a:effectLst/>
        </c:spPr>
        <c:dLbl>
          <c:idx val="0"/>
          <c:layout>
            <c:manualLayout>
              <c:x val="-2.1711366866453983E-3"/>
              <c:y val="5.8020510732779251E-2"/>
            </c:manualLayout>
          </c:layout>
          <c:numFmt formatCode="[$$-540A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Análise!$H$47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rgbClr val="002060"/>
                </a:gs>
                <a:gs pos="100000">
                  <a:srgbClr val="7030A0">
                    <a:lumMod val="65000"/>
                    <a:lumOff val="35000"/>
                  </a:srgbClr>
                </a:gs>
              </a:gsLst>
              <a:lin ang="5400000" scaled="1"/>
              <a:tileRect/>
            </a:gradFill>
            <a:ln w="25400">
              <a:noFill/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6-AC7A-4D82-8A3C-B69C5E402F94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9-AC7A-4D82-8A3C-B69C5E402F94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AC7A-4D82-8A3C-B69C5E402F94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7-AC7A-4D82-8A3C-B69C5E402F94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5-AC7A-4D82-8A3C-B69C5E402F94}"/>
              </c:ext>
            </c:extLst>
          </c:dPt>
          <c:dLbls>
            <c:dLbl>
              <c:idx val="0"/>
              <c:layout>
                <c:manualLayout>
                  <c:x val="8.0332057405879703E-2"/>
                  <c:y val="0.12893446829506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C7A-4D82-8A3C-B69C5E402F94}"/>
                </c:ext>
              </c:extLst>
            </c:dLbl>
            <c:dLbl>
              <c:idx val="1"/>
              <c:layout>
                <c:manualLayout>
                  <c:x val="-2.1711366866453983E-3"/>
                  <c:y val="5.80205107327792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C7A-4D82-8A3C-B69C5E402F94}"/>
                </c:ext>
              </c:extLst>
            </c:dLbl>
            <c:dLbl>
              <c:idx val="2"/>
              <c:layout>
                <c:manualLayout>
                  <c:x val="0"/>
                  <c:y val="1.28934468295065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C7A-4D82-8A3C-B69C5E402F94}"/>
                </c:ext>
              </c:extLst>
            </c:dLbl>
            <c:dLbl>
              <c:idx val="3"/>
              <c:layout>
                <c:manualLayout>
                  <c:x val="-7.9607425545224859E-17"/>
                  <c:y val="7.73606809770390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C7A-4D82-8A3C-B69C5E402F94}"/>
                </c:ext>
              </c:extLst>
            </c:dLbl>
            <c:dLbl>
              <c:idx val="4"/>
              <c:layout>
                <c:manualLayout>
                  <c:x val="-4.8850575449521455E-2"/>
                  <c:y val="-6.44672341475324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C7A-4D82-8A3C-B69C5E402F94}"/>
                </c:ext>
              </c:extLst>
            </c:dLbl>
            <c:numFmt formatCode="[$$-540A]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Análise!$G$48:$G$53</c:f>
              <c:strCache>
                <c:ptCount val="5"/>
                <c:pt idx="0">
                  <c:v>Joao Silva</c:v>
                </c:pt>
                <c:pt idx="1">
                  <c:v>Pablo Perez</c:v>
                </c:pt>
                <c:pt idx="2">
                  <c:v>Remy Monet</c:v>
                </c:pt>
                <c:pt idx="3">
                  <c:v>Tom Jackson</c:v>
                </c:pt>
                <c:pt idx="4">
                  <c:v>Walter Muller</c:v>
                </c:pt>
              </c:strCache>
            </c:strRef>
          </c:cat>
          <c:val>
            <c:numRef>
              <c:f>Análise!$H$48:$H$53</c:f>
              <c:numCache>
                <c:formatCode>General</c:formatCode>
                <c:ptCount val="5"/>
                <c:pt idx="0">
                  <c:v>546.62000000000012</c:v>
                </c:pt>
                <c:pt idx="1">
                  <c:v>331.82000000000005</c:v>
                </c:pt>
                <c:pt idx="2">
                  <c:v>198.28</c:v>
                </c:pt>
                <c:pt idx="3">
                  <c:v>521.05000000000007</c:v>
                </c:pt>
                <c:pt idx="4">
                  <c:v>206.22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7A-4D82-8A3C-B69C5E402F9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226019935"/>
        <c:axId val="1404725615"/>
      </c:areaChart>
      <c:catAx>
        <c:axId val="12260199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4725615"/>
        <c:crosses val="autoZero"/>
        <c:auto val="1"/>
        <c:lblAlgn val="ctr"/>
        <c:lblOffset val="100"/>
        <c:noMultiLvlLbl val="0"/>
      </c:catAx>
      <c:valAx>
        <c:axId val="1404725615"/>
        <c:scaling>
          <c:orientation val="minMax"/>
        </c:scaling>
        <c:delete val="0"/>
        <c:axPos val="l"/>
        <c:numFmt formatCode="[$$-540A]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26019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chart" Target="../charts/chart6.xml"/><Relationship Id="rId3" Type="http://schemas.openxmlformats.org/officeDocument/2006/relationships/image" Target="../media/image3.svg"/><Relationship Id="rId7" Type="http://schemas.openxmlformats.org/officeDocument/2006/relationships/image" Target="../media/image7.svg"/><Relationship Id="rId12" Type="http://schemas.openxmlformats.org/officeDocument/2006/relationships/chart" Target="../charts/chart5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svg"/><Relationship Id="rId5" Type="http://schemas.openxmlformats.org/officeDocument/2006/relationships/image" Target="../media/image5.svg"/><Relationship Id="rId15" Type="http://schemas.openxmlformats.org/officeDocument/2006/relationships/chart" Target="../charts/chart8.xml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svg"/><Relationship Id="rId1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695325</xdr:colOff>
      <xdr:row>11</xdr:row>
      <xdr:rowOff>4762</xdr:rowOff>
    </xdr:from>
    <xdr:to>
      <xdr:col>5</xdr:col>
      <xdr:colOff>438150</xdr:colOff>
      <xdr:row>25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F65552B-0A2E-A6F0-02A2-6D9DD98CCE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847725</xdr:colOff>
      <xdr:row>10</xdr:row>
      <xdr:rowOff>142875</xdr:rowOff>
    </xdr:from>
    <xdr:to>
      <xdr:col>6</xdr:col>
      <xdr:colOff>1200150</xdr:colOff>
      <xdr:row>24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Purchase Type">
              <a:extLst>
                <a:ext uri="{FF2B5EF4-FFF2-40B4-BE49-F238E27FC236}">
                  <a16:creationId xmlns:a16="http://schemas.microsoft.com/office/drawing/2014/main" id="{7A2311C5-4255-C459-EB6B-BC3CB628F3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urchase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19875" y="204787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152400</xdr:colOff>
      <xdr:row>11</xdr:row>
      <xdr:rowOff>85725</xdr:rowOff>
    </xdr:from>
    <xdr:to>
      <xdr:col>10</xdr:col>
      <xdr:colOff>190500</xdr:colOff>
      <xdr:row>24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City">
              <a:extLst>
                <a:ext uri="{FF2B5EF4-FFF2-40B4-BE49-F238E27FC236}">
                  <a16:creationId xmlns:a16="http://schemas.microsoft.com/office/drawing/2014/main" id="{1BE4A54C-3488-9574-76FC-1BD3B97DBE40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29650" y="2181225"/>
              <a:ext cx="2647950" cy="2438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952500</xdr:colOff>
      <xdr:row>36</xdr:row>
      <xdr:rowOff>109537</xdr:rowOff>
    </xdr:from>
    <xdr:to>
      <xdr:col>4</xdr:col>
      <xdr:colOff>885825</xdr:colOff>
      <xdr:row>50</xdr:row>
      <xdr:rowOff>185737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7110C0C-E26F-1795-DA9A-75ECD68D4C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638175</xdr:colOff>
      <xdr:row>53</xdr:row>
      <xdr:rowOff>109537</xdr:rowOff>
    </xdr:from>
    <xdr:to>
      <xdr:col>5</xdr:col>
      <xdr:colOff>0</xdr:colOff>
      <xdr:row>67</xdr:row>
      <xdr:rowOff>185737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0DD9DCB-8A5A-86BA-297B-9A9DB1C0D3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533400</xdr:colOff>
      <xdr:row>53</xdr:row>
      <xdr:rowOff>100012</xdr:rowOff>
    </xdr:from>
    <xdr:to>
      <xdr:col>8</xdr:col>
      <xdr:colOff>1419225</xdr:colOff>
      <xdr:row>67</xdr:row>
      <xdr:rowOff>176212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E18C74A-3616-55BA-723F-FBB38765BD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19051</xdr:rowOff>
    </xdr:from>
    <xdr:to>
      <xdr:col>24</xdr:col>
      <xdr:colOff>429186</xdr:colOff>
      <xdr:row>44</xdr:row>
      <xdr:rowOff>137199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AED21EEF-0788-89E2-2B97-E09898B48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1"/>
          <a:ext cx="14952010" cy="8500148"/>
        </a:xfrm>
        <a:prstGeom prst="rect">
          <a:avLst/>
        </a:prstGeom>
      </xdr:spPr>
    </xdr:pic>
    <xdr:clientData/>
  </xdr:twoCellAnchor>
  <xdr:twoCellAnchor editAs="oneCell">
    <xdr:from>
      <xdr:col>21</xdr:col>
      <xdr:colOff>510425</xdr:colOff>
      <xdr:row>16</xdr:row>
      <xdr:rowOff>166322</xdr:rowOff>
    </xdr:from>
    <xdr:to>
      <xdr:col>23</xdr:col>
      <xdr:colOff>56027</xdr:colOff>
      <xdr:row>20</xdr:row>
      <xdr:rowOff>165848</xdr:rowOff>
    </xdr:to>
    <xdr:pic>
      <xdr:nvPicPr>
        <xdr:cNvPr id="12" name="Gráfico 11">
          <a:extLst>
            <a:ext uri="{FF2B5EF4-FFF2-40B4-BE49-F238E27FC236}">
              <a16:creationId xmlns:a16="http://schemas.microsoft.com/office/drawing/2014/main" id="{BDD6BF79-E9B9-06C2-8054-BAFE6B97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3217896" y="3214322"/>
          <a:ext cx="755837" cy="761526"/>
        </a:xfrm>
        <a:prstGeom prst="rect">
          <a:avLst/>
        </a:prstGeom>
      </xdr:spPr>
    </xdr:pic>
    <xdr:clientData/>
  </xdr:twoCellAnchor>
  <xdr:twoCellAnchor editAs="oneCell">
    <xdr:from>
      <xdr:col>18</xdr:col>
      <xdr:colOff>470647</xdr:colOff>
      <xdr:row>8</xdr:row>
      <xdr:rowOff>63796</xdr:rowOff>
    </xdr:from>
    <xdr:to>
      <xdr:col>20</xdr:col>
      <xdr:colOff>33057</xdr:colOff>
      <xdr:row>12</xdr:row>
      <xdr:rowOff>80524</xdr:rowOff>
    </xdr:to>
    <xdr:pic>
      <xdr:nvPicPr>
        <xdr:cNvPr id="14" name="Gráfico 13">
          <a:extLst>
            <a:ext uri="{FF2B5EF4-FFF2-40B4-BE49-F238E27FC236}">
              <a16:creationId xmlns:a16="http://schemas.microsoft.com/office/drawing/2014/main" id="{68951541-1AF3-1E16-22F2-7A76D6B7E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1362765" y="1587796"/>
          <a:ext cx="772645" cy="778728"/>
        </a:xfrm>
        <a:prstGeom prst="rect">
          <a:avLst/>
        </a:prstGeom>
      </xdr:spPr>
    </xdr:pic>
    <xdr:clientData/>
  </xdr:twoCellAnchor>
  <xdr:twoCellAnchor editAs="oneCell">
    <xdr:from>
      <xdr:col>13</xdr:col>
      <xdr:colOff>278147</xdr:colOff>
      <xdr:row>8</xdr:row>
      <xdr:rowOff>57306</xdr:rowOff>
    </xdr:from>
    <xdr:to>
      <xdr:col>14</xdr:col>
      <xdr:colOff>493058</xdr:colOff>
      <xdr:row>12</xdr:row>
      <xdr:rowOff>121268</xdr:rowOff>
    </xdr:to>
    <xdr:pic>
      <xdr:nvPicPr>
        <xdr:cNvPr id="16" name="Gráfico 15">
          <a:extLst>
            <a:ext uri="{FF2B5EF4-FFF2-40B4-BE49-F238E27FC236}">
              <a16:creationId xmlns:a16="http://schemas.microsoft.com/office/drawing/2014/main" id="{404FC613-D1A6-2330-DDB0-08DD35FF8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8144676" y="1581306"/>
          <a:ext cx="820029" cy="825962"/>
        </a:xfrm>
        <a:prstGeom prst="rect">
          <a:avLst/>
        </a:prstGeom>
      </xdr:spPr>
    </xdr:pic>
    <xdr:clientData/>
  </xdr:twoCellAnchor>
  <xdr:twoCellAnchor editAs="oneCell">
    <xdr:from>
      <xdr:col>7</xdr:col>
      <xdr:colOff>44825</xdr:colOff>
      <xdr:row>8</xdr:row>
      <xdr:rowOff>10362</xdr:rowOff>
    </xdr:from>
    <xdr:to>
      <xdr:col>8</xdr:col>
      <xdr:colOff>331136</xdr:colOff>
      <xdr:row>12</xdr:row>
      <xdr:rowOff>145759</xdr:rowOff>
    </xdr:to>
    <xdr:pic>
      <xdr:nvPicPr>
        <xdr:cNvPr id="18" name="Gráfico 17">
          <a:extLst>
            <a:ext uri="{FF2B5EF4-FFF2-40B4-BE49-F238E27FC236}">
              <a16:creationId xmlns:a16="http://schemas.microsoft.com/office/drawing/2014/main" id="{4AF30B0C-8476-481E-E59A-F28390EAA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4280649" y="1534362"/>
          <a:ext cx="891428" cy="897397"/>
        </a:xfrm>
        <a:prstGeom prst="rect">
          <a:avLst/>
        </a:prstGeom>
      </xdr:spPr>
    </xdr:pic>
    <xdr:clientData/>
  </xdr:twoCellAnchor>
  <xdr:twoCellAnchor editAs="oneCell">
    <xdr:from>
      <xdr:col>0</xdr:col>
      <xdr:colOff>354101</xdr:colOff>
      <xdr:row>7</xdr:row>
      <xdr:rowOff>78440</xdr:rowOff>
    </xdr:from>
    <xdr:to>
      <xdr:col>3</xdr:col>
      <xdr:colOff>268941</xdr:colOff>
      <xdr:row>12</xdr:row>
      <xdr:rowOff>179293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0" name="Purchase Type 2">
              <a:extLst>
                <a:ext uri="{FF2B5EF4-FFF2-40B4-BE49-F238E27FC236}">
                  <a16:creationId xmlns:a16="http://schemas.microsoft.com/office/drawing/2014/main" id="{EB8A2020-33CE-433E-8560-9E47375AD2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urchase Typ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4101" y="1411940"/>
              <a:ext cx="1730193" cy="10533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4</xdr:col>
      <xdr:colOff>100854</xdr:colOff>
      <xdr:row>8</xdr:row>
      <xdr:rowOff>123265</xdr:rowOff>
    </xdr:from>
    <xdr:to>
      <xdr:col>7</xdr:col>
      <xdr:colOff>112059</xdr:colOff>
      <xdr:row>11</xdr:row>
      <xdr:rowOff>163046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BCD2CC0E-F72E-4EA4-8A7C-53191811064F}"/>
            </a:ext>
          </a:extLst>
        </xdr:cNvPr>
        <xdr:cNvSpPr txBox="1"/>
      </xdr:nvSpPr>
      <xdr:spPr>
        <a:xfrm>
          <a:off x="2521325" y="1647265"/>
          <a:ext cx="1826558" cy="6112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2000">
            <a:solidFill>
              <a:srgbClr val="836FFF"/>
            </a:solidFill>
          </a:endParaRPr>
        </a:p>
      </xdr:txBody>
    </xdr:sp>
    <xdr:clientData/>
  </xdr:twoCellAnchor>
  <xdr:twoCellAnchor>
    <xdr:from>
      <xdr:col>4</xdr:col>
      <xdr:colOff>56029</xdr:colOff>
      <xdr:row>9</xdr:row>
      <xdr:rowOff>145677</xdr:rowOff>
    </xdr:from>
    <xdr:to>
      <xdr:col>6</xdr:col>
      <xdr:colOff>515471</xdr:colOff>
      <xdr:row>12</xdr:row>
      <xdr:rowOff>89646</xdr:rowOff>
    </xdr:to>
    <xdr:sp macro="" textlink="Análise!I30">
      <xdr:nvSpPr>
        <xdr:cNvPr id="24" name="CaixaDeTexto 23">
          <a:extLst>
            <a:ext uri="{FF2B5EF4-FFF2-40B4-BE49-F238E27FC236}">
              <a16:creationId xmlns:a16="http://schemas.microsoft.com/office/drawing/2014/main" id="{719A5005-1220-6846-0B83-86C859D96CBC}"/>
            </a:ext>
          </a:extLst>
        </xdr:cNvPr>
        <xdr:cNvSpPr txBox="1"/>
      </xdr:nvSpPr>
      <xdr:spPr>
        <a:xfrm>
          <a:off x="2476500" y="1860177"/>
          <a:ext cx="1669677" cy="5154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B665AC75-447C-4930-952C-5E00C114E763}" type="TxLink">
            <a:rPr lang="en-US" sz="2400" b="1" i="0" u="none" strike="noStrike">
              <a:solidFill>
                <a:srgbClr val="836FFF"/>
              </a:solidFill>
              <a:latin typeface="Aptos Narrow"/>
              <a:ea typeface="+mn-ea"/>
              <a:cs typeface="+mn-cs"/>
            </a:rPr>
            <a:pPr marL="0" indent="0"/>
            <a:t> $1.803,99 </a:t>
          </a:fld>
          <a:endParaRPr lang="pt-BR" sz="2400" b="1" i="0" u="none" strike="noStrike">
            <a:solidFill>
              <a:srgbClr val="836FFF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392206</xdr:colOff>
      <xdr:row>9</xdr:row>
      <xdr:rowOff>89646</xdr:rowOff>
    </xdr:from>
    <xdr:to>
      <xdr:col>13</xdr:col>
      <xdr:colOff>392206</xdr:colOff>
      <xdr:row>12</xdr:row>
      <xdr:rowOff>112058</xdr:rowOff>
    </xdr:to>
    <xdr:sp macro="" textlink="Análise!I32">
      <xdr:nvSpPr>
        <xdr:cNvPr id="25" name="CaixaDeTexto 24">
          <a:extLst>
            <a:ext uri="{FF2B5EF4-FFF2-40B4-BE49-F238E27FC236}">
              <a16:creationId xmlns:a16="http://schemas.microsoft.com/office/drawing/2014/main" id="{52A25AC7-3869-D781-2109-126270C59D9B}"/>
            </a:ext>
          </a:extLst>
        </xdr:cNvPr>
        <xdr:cNvSpPr txBox="1"/>
      </xdr:nvSpPr>
      <xdr:spPr>
        <a:xfrm>
          <a:off x="5838265" y="1804146"/>
          <a:ext cx="2420470" cy="5939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B8EF315D-C5F7-4751-8767-7A3742F0A37D}" type="TxLink">
            <a:rPr lang="en-US" sz="2400" b="1" i="0" u="none" strike="noStrike">
              <a:solidFill>
                <a:srgbClr val="836FFF"/>
              </a:solidFill>
              <a:latin typeface="Aptos Narrow"/>
              <a:ea typeface="+mn-ea"/>
              <a:cs typeface="+mn-cs"/>
            </a:rPr>
            <a:pPr marL="0" indent="0"/>
            <a:t> $211.058.369,29 </a:t>
          </a:fld>
          <a:endParaRPr lang="pt-BR" sz="2400" b="1" i="0" u="none" strike="noStrike">
            <a:solidFill>
              <a:srgbClr val="836FFF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414619</xdr:colOff>
      <xdr:row>9</xdr:row>
      <xdr:rowOff>168089</xdr:rowOff>
    </xdr:from>
    <xdr:to>
      <xdr:col>18</xdr:col>
      <xdr:colOff>448235</xdr:colOff>
      <xdr:row>13</xdr:row>
      <xdr:rowOff>11207</xdr:rowOff>
    </xdr:to>
    <xdr:sp macro="" textlink="Análise!I33">
      <xdr:nvSpPr>
        <xdr:cNvPr id="26" name="CaixaDeTexto 25">
          <a:extLst>
            <a:ext uri="{FF2B5EF4-FFF2-40B4-BE49-F238E27FC236}">
              <a16:creationId xmlns:a16="http://schemas.microsoft.com/office/drawing/2014/main" id="{8BD5687A-4A33-4086-BD6F-5213627EEC03}"/>
            </a:ext>
          </a:extLst>
        </xdr:cNvPr>
        <xdr:cNvSpPr txBox="1"/>
      </xdr:nvSpPr>
      <xdr:spPr>
        <a:xfrm>
          <a:off x="9491384" y="1882589"/>
          <a:ext cx="1848969" cy="6051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C7E892A-96F9-413F-BA0B-CE9D4B7EFCF3}" type="TxLink">
            <a:rPr lang="en-US" sz="2400" b="1" i="0" u="none" strike="noStrike">
              <a:solidFill>
                <a:srgbClr val="836FFF"/>
              </a:solidFill>
              <a:latin typeface="Aptos Narrow"/>
            </a:rPr>
            <a:pPr/>
            <a:t> $830.938,46 </a:t>
          </a:fld>
          <a:endParaRPr lang="pt-BR" sz="2400" b="1">
            <a:solidFill>
              <a:srgbClr val="836FFF"/>
            </a:solidFill>
          </a:endParaRPr>
        </a:p>
      </xdr:txBody>
    </xdr:sp>
    <xdr:clientData/>
  </xdr:twoCellAnchor>
  <xdr:twoCellAnchor>
    <xdr:from>
      <xdr:col>2</xdr:col>
      <xdr:colOff>100852</xdr:colOff>
      <xdr:row>1</xdr:row>
      <xdr:rowOff>168088</xdr:rowOff>
    </xdr:from>
    <xdr:to>
      <xdr:col>10</xdr:col>
      <xdr:colOff>537883</xdr:colOff>
      <xdr:row>7</xdr:row>
      <xdr:rowOff>44824</xdr:rowOff>
    </xdr:to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5A4BCD0E-ADC0-3619-965B-86F0AFA2FC01}"/>
            </a:ext>
          </a:extLst>
        </xdr:cNvPr>
        <xdr:cNvSpPr txBox="1"/>
      </xdr:nvSpPr>
      <xdr:spPr>
        <a:xfrm>
          <a:off x="1311087" y="358588"/>
          <a:ext cx="5277972" cy="10197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t"/>
        <a:lstStyle/>
        <a:p>
          <a:pPr marL="0" indent="0"/>
          <a:r>
            <a:rPr lang="pt-BR" sz="2400" b="1" i="1" u="none" strike="noStrike">
              <a:solidFill>
                <a:srgbClr val="836FFF"/>
              </a:solidFill>
              <a:latin typeface="Aptos Narrow"/>
              <a:ea typeface="+mn-ea"/>
              <a:cs typeface="+mn-cs"/>
            </a:rPr>
            <a:t>RESTAURANTE</a:t>
          </a:r>
          <a:r>
            <a:rPr lang="pt-BR" sz="2400" b="1" i="1" u="none" strike="noStrike" baseline="0">
              <a:solidFill>
                <a:srgbClr val="836FFF"/>
              </a:solidFill>
              <a:latin typeface="Aptos Narrow"/>
              <a:ea typeface="+mn-ea"/>
              <a:cs typeface="+mn-cs"/>
            </a:rPr>
            <a:t>  </a:t>
          </a:r>
          <a:r>
            <a:rPr lang="pt-BR" sz="2400" b="1" i="1" u="none" strike="noStrike">
              <a:solidFill>
                <a:srgbClr val="836FFF"/>
              </a:solidFill>
              <a:latin typeface="Aptos Narrow"/>
              <a:ea typeface="+mn-ea"/>
              <a:cs typeface="+mn-cs"/>
            </a:rPr>
            <a:t>DASHBOARD</a:t>
          </a:r>
        </a:p>
      </xdr:txBody>
    </xdr:sp>
    <xdr:clientData/>
  </xdr:twoCellAnchor>
  <xdr:twoCellAnchor editAs="oneCell">
    <xdr:from>
      <xdr:col>0</xdr:col>
      <xdr:colOff>470648</xdr:colOff>
      <xdr:row>1</xdr:row>
      <xdr:rowOff>71717</xdr:rowOff>
    </xdr:from>
    <xdr:to>
      <xdr:col>1</xdr:col>
      <xdr:colOff>578225</xdr:colOff>
      <xdr:row>5</xdr:row>
      <xdr:rowOff>22412</xdr:rowOff>
    </xdr:to>
    <xdr:pic>
      <xdr:nvPicPr>
        <xdr:cNvPr id="29" name="Gráfico 28">
          <a:extLst>
            <a:ext uri="{FF2B5EF4-FFF2-40B4-BE49-F238E27FC236}">
              <a16:creationId xmlns:a16="http://schemas.microsoft.com/office/drawing/2014/main" id="{A6B96FA6-67BF-2D03-7842-AE7AEDAEF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470648" y="262217"/>
          <a:ext cx="712695" cy="712695"/>
        </a:xfrm>
        <a:prstGeom prst="rect">
          <a:avLst/>
        </a:prstGeom>
      </xdr:spPr>
    </xdr:pic>
    <xdr:clientData/>
  </xdr:twoCellAnchor>
  <xdr:twoCellAnchor>
    <xdr:from>
      <xdr:col>4</xdr:col>
      <xdr:colOff>44823</xdr:colOff>
      <xdr:row>7</xdr:row>
      <xdr:rowOff>56030</xdr:rowOff>
    </xdr:from>
    <xdr:to>
      <xdr:col>7</xdr:col>
      <xdr:colOff>67235</xdr:colOff>
      <xdr:row>8</xdr:row>
      <xdr:rowOff>168089</xdr:rowOff>
    </xdr:to>
    <xdr:sp macro="" textlink="">
      <xdr:nvSpPr>
        <xdr:cNvPr id="30" name="CaixaDeTexto 29">
          <a:extLst>
            <a:ext uri="{FF2B5EF4-FFF2-40B4-BE49-F238E27FC236}">
              <a16:creationId xmlns:a16="http://schemas.microsoft.com/office/drawing/2014/main" id="{CB0893DA-E430-C916-778C-CC8CF463C453}"/>
            </a:ext>
          </a:extLst>
        </xdr:cNvPr>
        <xdr:cNvSpPr txBox="1"/>
      </xdr:nvSpPr>
      <xdr:spPr>
        <a:xfrm>
          <a:off x="2465294" y="1389530"/>
          <a:ext cx="1837765" cy="3025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 b="1" i="0">
              <a:latin typeface="Bahnschrift SemiBold" panose="020B0502040204020203" pitchFamily="34" charset="0"/>
              <a:cs typeface="Arial" panose="020B0604020202020204" pitchFamily="34" charset="0"/>
            </a:rPr>
            <a:t>Total do Preço</a:t>
          </a:r>
        </a:p>
      </xdr:txBody>
    </xdr:sp>
    <xdr:clientData/>
  </xdr:twoCellAnchor>
  <xdr:twoCellAnchor>
    <xdr:from>
      <xdr:col>9</xdr:col>
      <xdr:colOff>515470</xdr:colOff>
      <xdr:row>7</xdr:row>
      <xdr:rowOff>67235</xdr:rowOff>
    </xdr:from>
    <xdr:to>
      <xdr:col>13</xdr:col>
      <xdr:colOff>324971</xdr:colOff>
      <xdr:row>9</xdr:row>
      <xdr:rowOff>56029</xdr:rowOff>
    </xdr:to>
    <xdr:sp macro="" textlink="">
      <xdr:nvSpPr>
        <xdr:cNvPr id="31" name="CaixaDeTexto 30">
          <a:extLst>
            <a:ext uri="{FF2B5EF4-FFF2-40B4-BE49-F238E27FC236}">
              <a16:creationId xmlns:a16="http://schemas.microsoft.com/office/drawing/2014/main" id="{26AC5C50-C8B5-C20D-51E6-AD0395FFDEF3}"/>
            </a:ext>
          </a:extLst>
        </xdr:cNvPr>
        <xdr:cNvSpPr txBox="1"/>
      </xdr:nvSpPr>
      <xdr:spPr>
        <a:xfrm>
          <a:off x="5961529" y="1400735"/>
          <a:ext cx="2229971" cy="3697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 b="1" i="0">
              <a:solidFill>
                <a:schemeClr val="dk1"/>
              </a:solidFill>
              <a:latin typeface="Bahnschrift SemiBold" panose="020B0502040204020203" pitchFamily="34" charset="0"/>
              <a:ea typeface="+mn-ea"/>
              <a:cs typeface="Arial" panose="020B0604020202020204" pitchFamily="34" charset="0"/>
            </a:rPr>
            <a:t>Total do Faturamento</a:t>
          </a:r>
        </a:p>
        <a:p>
          <a:endParaRPr lang="pt-BR" sz="1400" b="1" i="0">
            <a:solidFill>
              <a:schemeClr val="dk1"/>
            </a:solidFill>
            <a:latin typeface="Bahnschrift SemiBold" panose="020B0502040204020203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15</xdr:col>
      <xdr:colOff>504264</xdr:colOff>
      <xdr:row>7</xdr:row>
      <xdr:rowOff>112059</xdr:rowOff>
    </xdr:from>
    <xdr:to>
      <xdr:col>18</xdr:col>
      <xdr:colOff>381000</xdr:colOff>
      <xdr:row>9</xdr:row>
      <xdr:rowOff>44824</xdr:rowOff>
    </xdr:to>
    <xdr:sp macro="" textlink="">
      <xdr:nvSpPr>
        <xdr:cNvPr id="32" name="CaixaDeTexto 31">
          <a:extLst>
            <a:ext uri="{FF2B5EF4-FFF2-40B4-BE49-F238E27FC236}">
              <a16:creationId xmlns:a16="http://schemas.microsoft.com/office/drawing/2014/main" id="{77B7588F-C6A5-4711-8ED3-978F96F574A6}"/>
            </a:ext>
          </a:extLst>
        </xdr:cNvPr>
        <xdr:cNvSpPr txBox="1"/>
      </xdr:nvSpPr>
      <xdr:spPr>
        <a:xfrm>
          <a:off x="9581029" y="1445559"/>
          <a:ext cx="1692089" cy="3137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 b="1" i="0">
              <a:solidFill>
                <a:schemeClr val="dk1"/>
              </a:solidFill>
              <a:latin typeface="Bahnschrift SemiBold" panose="020B0502040204020203" pitchFamily="34" charset="0"/>
              <a:ea typeface="+mn-ea"/>
              <a:cs typeface="Arial" panose="020B0604020202020204" pitchFamily="34" charset="0"/>
            </a:rPr>
            <a:t>Ticket</a:t>
          </a:r>
          <a:r>
            <a:rPr lang="pt-BR" sz="1100" baseline="0"/>
            <a:t> </a:t>
          </a:r>
          <a:r>
            <a:rPr lang="pt-BR" sz="1400" b="1" i="0">
              <a:solidFill>
                <a:schemeClr val="dk1"/>
              </a:solidFill>
              <a:latin typeface="Bahnschrift SemiBold" panose="020B0502040204020203" pitchFamily="34" charset="0"/>
              <a:ea typeface="+mn-ea"/>
              <a:cs typeface="Arial" panose="020B0604020202020204" pitchFamily="34" charset="0"/>
            </a:rPr>
            <a:t>Médio</a:t>
          </a:r>
        </a:p>
        <a:p>
          <a:endParaRPr lang="pt-BR" sz="1100"/>
        </a:p>
      </xdr:txBody>
    </xdr:sp>
    <xdr:clientData/>
  </xdr:twoCellAnchor>
  <xdr:twoCellAnchor editAs="oneCell">
    <xdr:from>
      <xdr:col>10</xdr:col>
      <xdr:colOff>414617</xdr:colOff>
      <xdr:row>1</xdr:row>
      <xdr:rowOff>56029</xdr:rowOff>
    </xdr:from>
    <xdr:to>
      <xdr:col>23</xdr:col>
      <xdr:colOff>537882</xdr:colOff>
      <xdr:row>5</xdr:row>
      <xdr:rowOff>56029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ity 1">
              <a:extLst>
                <a:ext uri="{FF2B5EF4-FFF2-40B4-BE49-F238E27FC236}">
                  <a16:creationId xmlns:a16="http://schemas.microsoft.com/office/drawing/2014/main" id="{F1A3B87D-3391-4C53-9DBC-E9A5B1EDFCD3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65793" y="246529"/>
              <a:ext cx="7989795" cy="76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21</xdr:col>
      <xdr:colOff>336175</xdr:colOff>
      <xdr:row>7</xdr:row>
      <xdr:rowOff>44823</xdr:rowOff>
    </xdr:from>
    <xdr:to>
      <xdr:col>24</xdr:col>
      <xdr:colOff>179292</xdr:colOff>
      <xdr:row>10</xdr:row>
      <xdr:rowOff>179294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8A92F666-7289-A97D-7D9F-60EDD74DAB75}"/>
            </a:ext>
          </a:extLst>
        </xdr:cNvPr>
        <xdr:cNvSpPr txBox="1"/>
      </xdr:nvSpPr>
      <xdr:spPr>
        <a:xfrm>
          <a:off x="13043646" y="1378323"/>
          <a:ext cx="1658470" cy="7059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/>
            <a:t>        </a:t>
          </a:r>
          <a:r>
            <a:rPr lang="pt-BR" sz="1800" b="1"/>
            <a:t>TOP</a:t>
          </a:r>
          <a:r>
            <a:rPr lang="pt-BR" sz="1600" b="1"/>
            <a:t> </a:t>
          </a:r>
        </a:p>
        <a:p>
          <a:r>
            <a:rPr lang="pt-BR" sz="1800" b="1"/>
            <a:t>MANAGER</a:t>
          </a:r>
        </a:p>
      </xdr:txBody>
    </xdr:sp>
    <xdr:clientData/>
  </xdr:twoCellAnchor>
  <xdr:twoCellAnchor>
    <xdr:from>
      <xdr:col>21</xdr:col>
      <xdr:colOff>22412</xdr:colOff>
      <xdr:row>12</xdr:row>
      <xdr:rowOff>22411</xdr:rowOff>
    </xdr:from>
    <xdr:to>
      <xdr:col>26</xdr:col>
      <xdr:colOff>201705</xdr:colOff>
      <xdr:row>20</xdr:row>
      <xdr:rowOff>78441</xdr:rowOff>
    </xdr:to>
    <xdr:sp macro="" textlink="Análise!A5">
      <xdr:nvSpPr>
        <xdr:cNvPr id="4" name="CaixaDeTexto 3">
          <a:extLst>
            <a:ext uri="{FF2B5EF4-FFF2-40B4-BE49-F238E27FC236}">
              <a16:creationId xmlns:a16="http://schemas.microsoft.com/office/drawing/2014/main" id="{EE7F1A86-6C4C-5B29-5C32-553795C516D7}"/>
            </a:ext>
          </a:extLst>
        </xdr:cNvPr>
        <xdr:cNvSpPr txBox="1"/>
      </xdr:nvSpPr>
      <xdr:spPr>
        <a:xfrm>
          <a:off x="12729883" y="2308411"/>
          <a:ext cx="3204881" cy="15800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3C98D7F-7B44-4B2F-8F7A-19A7D059A410}" type="TxLink">
            <a:rPr lang="en-US" sz="2400" b="1" i="0" u="none" strike="noStrike">
              <a:solidFill>
                <a:srgbClr val="836FFF"/>
              </a:solidFill>
              <a:latin typeface="Aptos Narrow"/>
            </a:rPr>
            <a:pPr/>
            <a:t>Joao Silva</a:t>
          </a:fld>
          <a:endParaRPr lang="pt-BR" sz="2400" b="1">
            <a:solidFill>
              <a:srgbClr val="836FFF"/>
            </a:solidFill>
          </a:endParaRPr>
        </a:p>
      </xdr:txBody>
    </xdr:sp>
    <xdr:clientData/>
  </xdr:twoCellAnchor>
  <xdr:twoCellAnchor>
    <xdr:from>
      <xdr:col>10</xdr:col>
      <xdr:colOff>134471</xdr:colOff>
      <xdr:row>17</xdr:row>
      <xdr:rowOff>22412</xdr:rowOff>
    </xdr:from>
    <xdr:to>
      <xdr:col>19</xdr:col>
      <xdr:colOff>324972</xdr:colOff>
      <xdr:row>28</xdr:row>
      <xdr:rowOff>179295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A548024-0C67-432E-866F-FA67011B61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10</xdr:col>
      <xdr:colOff>179294</xdr:colOff>
      <xdr:row>14</xdr:row>
      <xdr:rowOff>145677</xdr:rowOff>
    </xdr:from>
    <xdr:to>
      <xdr:col>15</xdr:col>
      <xdr:colOff>44823</xdr:colOff>
      <xdr:row>16</xdr:row>
      <xdr:rowOff>179294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AC3D67BC-FF95-28EA-94DA-CB05A7F4D70E}"/>
            </a:ext>
          </a:extLst>
        </xdr:cNvPr>
        <xdr:cNvSpPr txBox="1"/>
      </xdr:nvSpPr>
      <xdr:spPr>
        <a:xfrm>
          <a:off x="6230470" y="2812677"/>
          <a:ext cx="2891118" cy="4146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 de Vendas por Cidade</a:t>
          </a:r>
          <a:endParaRPr lang="pt-BR" sz="1800" b="1" i="1">
            <a:effectLst/>
          </a:endParaRPr>
        </a:p>
        <a:p>
          <a:endParaRPr lang="pt-BR" sz="1100"/>
        </a:p>
      </xdr:txBody>
    </xdr:sp>
    <xdr:clientData/>
  </xdr:twoCellAnchor>
  <xdr:twoCellAnchor>
    <xdr:from>
      <xdr:col>0</xdr:col>
      <xdr:colOff>347382</xdr:colOff>
      <xdr:row>16</xdr:row>
      <xdr:rowOff>168087</xdr:rowOff>
    </xdr:from>
    <xdr:to>
      <xdr:col>9</xdr:col>
      <xdr:colOff>89647</xdr:colOff>
      <xdr:row>29</xdr:row>
      <xdr:rowOff>56029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5336F9A-7752-4B42-B919-E07430600B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459441</xdr:colOff>
      <xdr:row>14</xdr:row>
      <xdr:rowOff>145676</xdr:rowOff>
    </xdr:from>
    <xdr:to>
      <xdr:col>7</xdr:col>
      <xdr:colOff>56029</xdr:colOff>
      <xdr:row>16</xdr:row>
      <xdr:rowOff>179293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01D728C4-EA19-4E4E-ADD2-06F4E7438D1F}"/>
            </a:ext>
          </a:extLst>
        </xdr:cNvPr>
        <xdr:cNvSpPr txBox="1"/>
      </xdr:nvSpPr>
      <xdr:spPr>
        <a:xfrm>
          <a:off x="459441" y="2812676"/>
          <a:ext cx="3832412" cy="4146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 da Quantidade dos Produtos</a:t>
          </a:r>
          <a:endParaRPr lang="pt-BR" sz="1800" b="1" i="1">
            <a:effectLst/>
          </a:endParaRPr>
        </a:p>
        <a:p>
          <a:endParaRPr lang="pt-BR" sz="1100"/>
        </a:p>
      </xdr:txBody>
    </xdr:sp>
    <xdr:clientData/>
  </xdr:twoCellAnchor>
  <xdr:twoCellAnchor>
    <xdr:from>
      <xdr:col>21</xdr:col>
      <xdr:colOff>208428</xdr:colOff>
      <xdr:row>24</xdr:row>
      <xdr:rowOff>29136</xdr:rowOff>
    </xdr:from>
    <xdr:to>
      <xdr:col>24</xdr:col>
      <xdr:colOff>224117</xdr:colOff>
      <xdr:row>27</xdr:row>
      <xdr:rowOff>89647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519B920C-BC3C-41FC-9EFE-4D3DE305AFC9}"/>
            </a:ext>
          </a:extLst>
        </xdr:cNvPr>
        <xdr:cNvSpPr txBox="1"/>
      </xdr:nvSpPr>
      <xdr:spPr>
        <a:xfrm>
          <a:off x="12915899" y="4601136"/>
          <a:ext cx="1831042" cy="6320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Atendimento</a:t>
          </a:r>
          <a:endParaRPr lang="pt-BR" sz="1800" b="1" i="1">
            <a:effectLst/>
          </a:endParaRPr>
        </a:p>
        <a:p>
          <a:endParaRPr lang="pt-BR" sz="1100"/>
        </a:p>
      </xdr:txBody>
    </xdr:sp>
    <xdr:clientData/>
  </xdr:twoCellAnchor>
  <xdr:twoCellAnchor>
    <xdr:from>
      <xdr:col>20</xdr:col>
      <xdr:colOff>212911</xdr:colOff>
      <xdr:row>24</xdr:row>
      <xdr:rowOff>156881</xdr:rowOff>
    </xdr:from>
    <xdr:to>
      <xdr:col>24</xdr:col>
      <xdr:colOff>212911</xdr:colOff>
      <xdr:row>39</xdr:row>
      <xdr:rowOff>42581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1F3C61B-6F22-4533-968A-25E428E257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369793</xdr:colOff>
      <xdr:row>32</xdr:row>
      <xdr:rowOff>100853</xdr:rowOff>
    </xdr:from>
    <xdr:to>
      <xdr:col>19</xdr:col>
      <xdr:colOff>571499</xdr:colOff>
      <xdr:row>42</xdr:row>
      <xdr:rowOff>165846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7758A30C-AF8B-4132-AF00-67C95F2D76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522194</xdr:colOff>
      <xdr:row>30</xdr:row>
      <xdr:rowOff>186017</xdr:rowOff>
    </xdr:from>
    <xdr:to>
      <xdr:col>7</xdr:col>
      <xdr:colOff>118782</xdr:colOff>
      <xdr:row>33</xdr:row>
      <xdr:rowOff>29134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6D244F96-DF16-47FF-9A34-33A33C59E72F}"/>
            </a:ext>
          </a:extLst>
        </xdr:cNvPr>
        <xdr:cNvSpPr txBox="1"/>
      </xdr:nvSpPr>
      <xdr:spPr>
        <a:xfrm>
          <a:off x="522194" y="5901017"/>
          <a:ext cx="3832412" cy="4146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 </a:t>
          </a:r>
          <a:r>
            <a:rPr lang="pt-BR" sz="18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dos Preços por Manager</a:t>
          </a:r>
          <a:endParaRPr lang="pt-BR" sz="1800" b="1" i="1">
            <a:effectLst/>
          </a:endParaRPr>
        </a:p>
        <a:p>
          <a:endParaRPr lang="pt-B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briel Bonitao" refreshedDate="45880.697305208334" createdVersion="8" refreshedVersion="8" minRefreshableVersion="3" recordCount="254" xr:uid="{A73F962A-34BB-43E7-B05F-8F2764D238F3}">
  <cacheSource type="worksheet">
    <worksheetSource name="Tabela1"/>
  </cacheSource>
  <cacheFields count="11">
    <cacheField name="Order ID" numFmtId="0">
      <sharedItems containsSemiMixedTypes="0" containsString="0" containsNumber="1" containsInteger="1" minValue="10452" maxValue="10713"/>
    </cacheField>
    <cacheField name="Date" numFmtId="14">
      <sharedItems containsSemiMixedTypes="0" containsNonDate="0" containsDate="1" containsString="0" minDate="2022-11-07T00:00:00" maxDate="2022-12-30T00:00:00" count="53"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</sharedItems>
      <fieldGroup par="10"/>
    </cacheField>
    <cacheField name="Product" numFmtId="0">
      <sharedItems count="5">
        <s v="Fries"/>
        <s v="Beverages"/>
        <s v="Sides &amp; Other"/>
        <s v="Burgers"/>
        <s v="Chicken Sandwiches"/>
      </sharedItems>
    </cacheField>
    <cacheField name=" Price " numFmtId="164">
      <sharedItems containsSemiMixedTypes="0" containsString="0" containsNumber="1" minValue="2.95" maxValue="29.05"/>
    </cacheField>
    <cacheField name="Quantity" numFmtId="0">
      <sharedItems containsSemiMixedTypes="0" containsString="0" containsNumber="1" minValue="200.4" maxValue="754.43"/>
    </cacheField>
    <cacheField name="Purchase Type" numFmtId="0">
      <sharedItems count="3">
        <s v="Online "/>
        <s v="In-store "/>
        <s v="Drive-thru "/>
      </sharedItems>
    </cacheField>
    <cacheField name="Payment Method" numFmtId="0">
      <sharedItems count="3">
        <s v=" Gift Card"/>
        <s v=" Credit Card"/>
        <s v=" Cash"/>
      </sharedItems>
    </cacheField>
    <cacheField name="Manager" numFmtId="0">
      <sharedItems count="5">
        <s v="Tom Jackson"/>
        <s v="Pablo Perez"/>
        <s v="Joao Silva"/>
        <s v="Walter Muller"/>
        <s v="Remy Monet"/>
      </sharedItems>
    </cacheField>
    <cacheField name="City" numFmtId="0">
      <sharedItems count="5">
        <s v="London"/>
        <s v="Madrid"/>
        <s v="Lisbon"/>
        <s v="Berlin"/>
        <s v="Paris"/>
      </sharedItems>
    </cacheField>
    <cacheField name="Dias (Date)" numFmtId="0" databaseField="0">
      <fieldGroup base="1">
        <rangePr groupBy="days" startDate="2022-11-07T00:00:00" endDate="2022-12-30T00:00:00"/>
        <groupItems count="368">
          <s v="&lt;07/11/2022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30/12/2022"/>
        </groupItems>
      </fieldGroup>
    </cacheField>
    <cacheField name="Meses (Date)" numFmtId="0" databaseField="0">
      <fieldGroup base="1">
        <rangePr groupBy="months" startDate="2022-11-07T00:00:00" endDate="2022-12-30T00:00:00"/>
        <groupItems count="14">
          <s v="&lt;07/11/2022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30/12/2022"/>
        </groupItems>
      </fieldGroup>
    </cacheField>
  </cacheFields>
  <extLst>
    <ext xmlns:x14="http://schemas.microsoft.com/office/spreadsheetml/2009/9/main" uri="{725AE2AE-9491-48be-B2B4-4EB974FC3084}">
      <x14:pivotCacheDefinition pivotCacheId="2002915914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briel Bonitao" refreshedDate="45881.78914050926" createdVersion="8" refreshedVersion="8" minRefreshableVersion="3" recordCount="5" xr:uid="{1C0D927A-0862-4B41-A30E-31D232E0642E}">
  <cacheSource type="worksheet">
    <worksheetSource name="Tabela2"/>
  </cacheSource>
  <cacheFields count="2">
    <cacheField name="Preços" numFmtId="0">
      <sharedItems count="5">
        <s v="Total do preço"/>
        <s v="Total de qnt"/>
        <s v="Faturamento Total"/>
        <s v="Ticket Medio"/>
        <s v="Total de pedido"/>
      </sharedItems>
    </cacheField>
    <cacheField name="Coluna1" numFmtId="0">
      <sharedItems containsSemiMixedTypes="0" containsString="0" containsNumber="1" minValue="254" maxValue="211058369.286900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4">
  <r>
    <n v="10452"/>
    <x v="0"/>
    <x v="0"/>
    <n v="3.49"/>
    <n v="573.07000000000005"/>
    <x v="0"/>
    <x v="0"/>
    <x v="0"/>
    <x v="0"/>
  </r>
  <r>
    <n v="10453"/>
    <x v="0"/>
    <x v="1"/>
    <n v="2.95"/>
    <n v="745.76"/>
    <x v="0"/>
    <x v="0"/>
    <x v="1"/>
    <x v="1"/>
  </r>
  <r>
    <n v="10454"/>
    <x v="0"/>
    <x v="2"/>
    <n v="4.99"/>
    <n v="200.4"/>
    <x v="1"/>
    <x v="0"/>
    <x v="2"/>
    <x v="2"/>
  </r>
  <r>
    <n v="10455"/>
    <x v="1"/>
    <x v="3"/>
    <n v="12.99"/>
    <n v="569.66999999999996"/>
    <x v="1"/>
    <x v="1"/>
    <x v="3"/>
    <x v="3"/>
  </r>
  <r>
    <n v="10456"/>
    <x v="1"/>
    <x v="4"/>
    <n v="9.9499999999999993"/>
    <n v="201.01"/>
    <x v="1"/>
    <x v="1"/>
    <x v="3"/>
    <x v="3"/>
  </r>
  <r>
    <n v="10457"/>
    <x v="1"/>
    <x v="0"/>
    <n v="3.49"/>
    <n v="573.07000000000005"/>
    <x v="1"/>
    <x v="1"/>
    <x v="4"/>
    <x v="4"/>
  </r>
  <r>
    <n v="10459"/>
    <x v="1"/>
    <x v="2"/>
    <n v="4.99"/>
    <n v="200.4"/>
    <x v="1"/>
    <x v="1"/>
    <x v="3"/>
    <x v="3"/>
  </r>
  <r>
    <n v="10460"/>
    <x v="2"/>
    <x v="3"/>
    <n v="12.99"/>
    <n v="554.27"/>
    <x v="1"/>
    <x v="1"/>
    <x v="4"/>
    <x v="4"/>
  </r>
  <r>
    <n v="10461"/>
    <x v="2"/>
    <x v="4"/>
    <n v="9.9499999999999993"/>
    <n v="201.01"/>
    <x v="1"/>
    <x v="1"/>
    <x v="4"/>
    <x v="4"/>
  </r>
  <r>
    <n v="10462"/>
    <x v="2"/>
    <x v="0"/>
    <n v="3.49"/>
    <n v="573.07000000000005"/>
    <x v="1"/>
    <x v="1"/>
    <x v="4"/>
    <x v="4"/>
  </r>
  <r>
    <n v="10463"/>
    <x v="2"/>
    <x v="1"/>
    <n v="2.95"/>
    <n v="677.97"/>
    <x v="1"/>
    <x v="1"/>
    <x v="4"/>
    <x v="4"/>
  </r>
  <r>
    <n v="10464"/>
    <x v="2"/>
    <x v="2"/>
    <n v="4.99"/>
    <n v="200.4"/>
    <x v="1"/>
    <x v="1"/>
    <x v="4"/>
    <x v="4"/>
  </r>
  <r>
    <n v="10465"/>
    <x v="3"/>
    <x v="3"/>
    <n v="12.99"/>
    <n v="554.27"/>
    <x v="1"/>
    <x v="1"/>
    <x v="1"/>
    <x v="1"/>
  </r>
  <r>
    <n v="10466"/>
    <x v="3"/>
    <x v="4"/>
    <n v="9.9499999999999993"/>
    <n v="201.01"/>
    <x v="1"/>
    <x v="1"/>
    <x v="1"/>
    <x v="1"/>
  </r>
  <r>
    <n v="10467"/>
    <x v="3"/>
    <x v="0"/>
    <n v="3.49"/>
    <n v="573.07000000000005"/>
    <x v="1"/>
    <x v="1"/>
    <x v="1"/>
    <x v="1"/>
  </r>
  <r>
    <n v="10468"/>
    <x v="3"/>
    <x v="1"/>
    <n v="2.95"/>
    <n v="677.97"/>
    <x v="1"/>
    <x v="1"/>
    <x v="1"/>
    <x v="1"/>
  </r>
  <r>
    <n v="10470"/>
    <x v="4"/>
    <x v="3"/>
    <n v="12.99"/>
    <n v="554.27"/>
    <x v="1"/>
    <x v="1"/>
    <x v="1"/>
    <x v="1"/>
  </r>
  <r>
    <n v="10471"/>
    <x v="4"/>
    <x v="4"/>
    <n v="9.9499999999999993"/>
    <n v="201.01"/>
    <x v="1"/>
    <x v="1"/>
    <x v="1"/>
    <x v="1"/>
  </r>
  <r>
    <n v="10472"/>
    <x v="4"/>
    <x v="0"/>
    <n v="3.49"/>
    <n v="630.37"/>
    <x v="1"/>
    <x v="1"/>
    <x v="1"/>
    <x v="1"/>
  </r>
  <r>
    <n v="10473"/>
    <x v="4"/>
    <x v="1"/>
    <n v="2.95"/>
    <n v="677.97"/>
    <x v="1"/>
    <x v="1"/>
    <x v="1"/>
    <x v="1"/>
  </r>
  <r>
    <n v="10474"/>
    <x v="4"/>
    <x v="2"/>
    <n v="4.99"/>
    <n v="200.4"/>
    <x v="1"/>
    <x v="1"/>
    <x v="1"/>
    <x v="1"/>
  </r>
  <r>
    <n v="10475"/>
    <x v="5"/>
    <x v="3"/>
    <n v="12.99"/>
    <n v="523.48"/>
    <x v="1"/>
    <x v="1"/>
    <x v="1"/>
    <x v="1"/>
  </r>
  <r>
    <n v="10476"/>
    <x v="5"/>
    <x v="4"/>
    <n v="9.9499999999999993"/>
    <n v="201.01"/>
    <x v="1"/>
    <x v="1"/>
    <x v="1"/>
    <x v="1"/>
  </r>
  <r>
    <n v="10477"/>
    <x v="5"/>
    <x v="0"/>
    <n v="3.49"/>
    <n v="630.37"/>
    <x v="1"/>
    <x v="1"/>
    <x v="1"/>
    <x v="1"/>
  </r>
  <r>
    <n v="10478"/>
    <x v="5"/>
    <x v="1"/>
    <n v="2.95"/>
    <n v="677.97"/>
    <x v="1"/>
    <x v="1"/>
    <x v="1"/>
    <x v="1"/>
  </r>
  <r>
    <n v="10479"/>
    <x v="5"/>
    <x v="2"/>
    <n v="4.99"/>
    <n v="200.4"/>
    <x v="1"/>
    <x v="1"/>
    <x v="1"/>
    <x v="1"/>
  </r>
  <r>
    <n v="10480"/>
    <x v="6"/>
    <x v="3"/>
    <n v="12.99"/>
    <n v="508.08"/>
    <x v="1"/>
    <x v="1"/>
    <x v="1"/>
    <x v="1"/>
  </r>
  <r>
    <n v="10481"/>
    <x v="6"/>
    <x v="4"/>
    <n v="9.9499999999999993"/>
    <n v="201.01"/>
    <x v="1"/>
    <x v="1"/>
    <x v="1"/>
    <x v="1"/>
  </r>
  <r>
    <n v="10482"/>
    <x v="6"/>
    <x v="0"/>
    <n v="25.5"/>
    <n v="630.37"/>
    <x v="1"/>
    <x v="1"/>
    <x v="2"/>
    <x v="2"/>
  </r>
  <r>
    <n v="10486"/>
    <x v="7"/>
    <x v="4"/>
    <n v="29.05"/>
    <n v="201.01"/>
    <x v="1"/>
    <x v="1"/>
    <x v="2"/>
    <x v="2"/>
  </r>
  <r>
    <n v="10487"/>
    <x v="7"/>
    <x v="0"/>
    <n v="3.49"/>
    <n v="630.37"/>
    <x v="1"/>
    <x v="1"/>
    <x v="2"/>
    <x v="2"/>
  </r>
  <r>
    <n v="10488"/>
    <x v="7"/>
    <x v="1"/>
    <n v="2.95"/>
    <n v="677.97"/>
    <x v="1"/>
    <x v="1"/>
    <x v="2"/>
    <x v="2"/>
  </r>
  <r>
    <n v="10489"/>
    <x v="7"/>
    <x v="2"/>
    <n v="4.99"/>
    <n v="200.4"/>
    <x v="1"/>
    <x v="1"/>
    <x v="1"/>
    <x v="1"/>
  </r>
  <r>
    <n v="10490"/>
    <x v="8"/>
    <x v="3"/>
    <n v="12.99"/>
    <n v="508.08"/>
    <x v="1"/>
    <x v="1"/>
    <x v="1"/>
    <x v="1"/>
  </r>
  <r>
    <n v="10491"/>
    <x v="8"/>
    <x v="4"/>
    <n v="9.9499999999999993"/>
    <n v="201.01"/>
    <x v="1"/>
    <x v="1"/>
    <x v="1"/>
    <x v="1"/>
  </r>
  <r>
    <n v="10492"/>
    <x v="8"/>
    <x v="0"/>
    <n v="3.49"/>
    <n v="573.07000000000005"/>
    <x v="1"/>
    <x v="1"/>
    <x v="1"/>
    <x v="1"/>
  </r>
  <r>
    <n v="10493"/>
    <x v="8"/>
    <x v="1"/>
    <n v="2.95"/>
    <n v="677.97"/>
    <x v="1"/>
    <x v="1"/>
    <x v="1"/>
    <x v="1"/>
  </r>
  <r>
    <n v="10494"/>
    <x v="8"/>
    <x v="2"/>
    <n v="4.99"/>
    <n v="200.4"/>
    <x v="1"/>
    <x v="1"/>
    <x v="1"/>
    <x v="1"/>
  </r>
  <r>
    <n v="10495"/>
    <x v="9"/>
    <x v="3"/>
    <n v="12.99"/>
    <n v="508.08"/>
    <x v="1"/>
    <x v="1"/>
    <x v="1"/>
    <x v="1"/>
  </r>
  <r>
    <n v="10496"/>
    <x v="9"/>
    <x v="4"/>
    <n v="9.9499999999999993"/>
    <n v="201.01"/>
    <x v="1"/>
    <x v="1"/>
    <x v="1"/>
    <x v="1"/>
  </r>
  <r>
    <n v="10497"/>
    <x v="9"/>
    <x v="0"/>
    <n v="3.49"/>
    <n v="573.07000000000005"/>
    <x v="1"/>
    <x v="1"/>
    <x v="1"/>
    <x v="1"/>
  </r>
  <r>
    <n v="10498"/>
    <x v="9"/>
    <x v="1"/>
    <n v="2.95"/>
    <n v="677.97"/>
    <x v="2"/>
    <x v="1"/>
    <x v="1"/>
    <x v="1"/>
  </r>
  <r>
    <n v="10499"/>
    <x v="9"/>
    <x v="2"/>
    <n v="4.99"/>
    <n v="200.4"/>
    <x v="2"/>
    <x v="1"/>
    <x v="1"/>
    <x v="1"/>
  </r>
  <r>
    <n v="10500"/>
    <x v="10"/>
    <x v="3"/>
    <n v="12.99"/>
    <n v="523.48"/>
    <x v="2"/>
    <x v="1"/>
    <x v="1"/>
    <x v="1"/>
  </r>
  <r>
    <n v="10501"/>
    <x v="10"/>
    <x v="4"/>
    <n v="9.9499999999999993"/>
    <n v="201.01"/>
    <x v="2"/>
    <x v="1"/>
    <x v="1"/>
    <x v="1"/>
  </r>
  <r>
    <n v="10502"/>
    <x v="10"/>
    <x v="0"/>
    <n v="3.49"/>
    <n v="630.37"/>
    <x v="2"/>
    <x v="1"/>
    <x v="1"/>
    <x v="1"/>
  </r>
  <r>
    <n v="10503"/>
    <x v="10"/>
    <x v="1"/>
    <n v="2.95"/>
    <n v="677.97"/>
    <x v="2"/>
    <x v="1"/>
    <x v="1"/>
    <x v="1"/>
  </r>
  <r>
    <n v="10504"/>
    <x v="10"/>
    <x v="2"/>
    <n v="4.99"/>
    <n v="200.4"/>
    <x v="2"/>
    <x v="1"/>
    <x v="1"/>
    <x v="1"/>
  </r>
  <r>
    <n v="10505"/>
    <x v="11"/>
    <x v="3"/>
    <n v="12.99"/>
    <n v="538.88"/>
    <x v="2"/>
    <x v="1"/>
    <x v="1"/>
    <x v="1"/>
  </r>
  <r>
    <n v="10506"/>
    <x v="11"/>
    <x v="4"/>
    <n v="9.9499999999999993"/>
    <n v="201.01"/>
    <x v="2"/>
    <x v="1"/>
    <x v="1"/>
    <x v="1"/>
  </r>
  <r>
    <n v="10507"/>
    <x v="11"/>
    <x v="0"/>
    <n v="3.49"/>
    <n v="687.68"/>
    <x v="2"/>
    <x v="1"/>
    <x v="1"/>
    <x v="1"/>
  </r>
  <r>
    <n v="10508"/>
    <x v="11"/>
    <x v="1"/>
    <n v="2.95"/>
    <n v="677.97"/>
    <x v="2"/>
    <x v="1"/>
    <x v="1"/>
    <x v="1"/>
  </r>
  <r>
    <n v="10509"/>
    <x v="11"/>
    <x v="2"/>
    <n v="4.99"/>
    <n v="200.4"/>
    <x v="2"/>
    <x v="1"/>
    <x v="1"/>
    <x v="1"/>
  </r>
  <r>
    <n v="10510"/>
    <x v="12"/>
    <x v="3"/>
    <n v="12.99"/>
    <n v="508.08"/>
    <x v="2"/>
    <x v="1"/>
    <x v="1"/>
    <x v="1"/>
  </r>
  <r>
    <n v="10511"/>
    <x v="12"/>
    <x v="4"/>
    <n v="9.9499999999999993"/>
    <n v="201.01"/>
    <x v="2"/>
    <x v="1"/>
    <x v="2"/>
    <x v="2"/>
  </r>
  <r>
    <n v="10512"/>
    <x v="12"/>
    <x v="0"/>
    <n v="3.49"/>
    <n v="687.68"/>
    <x v="2"/>
    <x v="1"/>
    <x v="2"/>
    <x v="2"/>
  </r>
  <r>
    <n v="10513"/>
    <x v="12"/>
    <x v="1"/>
    <n v="2.95"/>
    <n v="677.97"/>
    <x v="2"/>
    <x v="2"/>
    <x v="2"/>
    <x v="2"/>
  </r>
  <r>
    <n v="10514"/>
    <x v="12"/>
    <x v="2"/>
    <n v="4.99"/>
    <n v="200.4"/>
    <x v="2"/>
    <x v="2"/>
    <x v="2"/>
    <x v="2"/>
  </r>
  <r>
    <n v="10515"/>
    <x v="13"/>
    <x v="3"/>
    <n v="12.99"/>
    <n v="477.29"/>
    <x v="2"/>
    <x v="2"/>
    <x v="2"/>
    <x v="2"/>
  </r>
  <r>
    <n v="10516"/>
    <x v="13"/>
    <x v="4"/>
    <n v="9.9499999999999993"/>
    <n v="201.01"/>
    <x v="2"/>
    <x v="2"/>
    <x v="2"/>
    <x v="2"/>
  </r>
  <r>
    <n v="10483"/>
    <x v="6"/>
    <x v="1"/>
    <n v="2.95"/>
    <n v="677.97"/>
    <x v="1"/>
    <x v="1"/>
    <x v="2"/>
    <x v="2"/>
  </r>
  <r>
    <n v="10484"/>
    <x v="6"/>
    <x v="2"/>
    <n v="4.99"/>
    <n v="200.4"/>
    <x v="1"/>
    <x v="1"/>
    <x v="2"/>
    <x v="2"/>
  </r>
  <r>
    <n v="10485"/>
    <x v="7"/>
    <x v="3"/>
    <n v="12.99"/>
    <n v="523.48"/>
    <x v="1"/>
    <x v="1"/>
    <x v="2"/>
    <x v="2"/>
  </r>
  <r>
    <n v="10520"/>
    <x v="14"/>
    <x v="3"/>
    <n v="12.99"/>
    <n v="492.69"/>
    <x v="2"/>
    <x v="2"/>
    <x v="4"/>
    <x v="4"/>
  </r>
  <r>
    <n v="10521"/>
    <x v="14"/>
    <x v="4"/>
    <n v="9.9499999999999993"/>
    <n v="201.01"/>
    <x v="2"/>
    <x v="2"/>
    <x v="4"/>
    <x v="4"/>
  </r>
  <r>
    <n v="10522"/>
    <x v="14"/>
    <x v="0"/>
    <n v="3.49"/>
    <n v="687.68"/>
    <x v="2"/>
    <x v="2"/>
    <x v="4"/>
    <x v="4"/>
  </r>
  <r>
    <n v="10523"/>
    <x v="14"/>
    <x v="1"/>
    <n v="2.95"/>
    <n v="745.76"/>
    <x v="2"/>
    <x v="2"/>
    <x v="4"/>
    <x v="4"/>
  </r>
  <r>
    <n v="10524"/>
    <x v="14"/>
    <x v="2"/>
    <n v="4.99"/>
    <n v="200.4"/>
    <x v="2"/>
    <x v="2"/>
    <x v="4"/>
    <x v="4"/>
  </r>
  <r>
    <n v="10525"/>
    <x v="15"/>
    <x v="3"/>
    <n v="12.99"/>
    <n v="461.89"/>
    <x v="2"/>
    <x v="2"/>
    <x v="4"/>
    <x v="4"/>
  </r>
  <r>
    <n v="10526"/>
    <x v="15"/>
    <x v="4"/>
    <n v="9.9499999999999993"/>
    <n v="201.01"/>
    <x v="2"/>
    <x v="2"/>
    <x v="4"/>
    <x v="4"/>
  </r>
  <r>
    <n v="10527"/>
    <x v="15"/>
    <x v="0"/>
    <n v="3.49"/>
    <n v="687.68"/>
    <x v="2"/>
    <x v="2"/>
    <x v="4"/>
    <x v="4"/>
  </r>
  <r>
    <n v="10528"/>
    <x v="15"/>
    <x v="1"/>
    <n v="2.95"/>
    <n v="745.76"/>
    <x v="2"/>
    <x v="2"/>
    <x v="4"/>
    <x v="4"/>
  </r>
  <r>
    <n v="10529"/>
    <x v="15"/>
    <x v="2"/>
    <n v="4.99"/>
    <n v="200.4"/>
    <x v="2"/>
    <x v="2"/>
    <x v="4"/>
    <x v="4"/>
  </r>
  <r>
    <n v="10530"/>
    <x v="16"/>
    <x v="3"/>
    <n v="12.99"/>
    <n v="477.29"/>
    <x v="2"/>
    <x v="2"/>
    <x v="4"/>
    <x v="4"/>
  </r>
  <r>
    <n v="10531"/>
    <x v="16"/>
    <x v="4"/>
    <n v="9.9499999999999993"/>
    <n v="201.01"/>
    <x v="2"/>
    <x v="2"/>
    <x v="4"/>
    <x v="4"/>
  </r>
  <r>
    <n v="10532"/>
    <x v="16"/>
    <x v="0"/>
    <n v="3.49"/>
    <n v="687.68"/>
    <x v="2"/>
    <x v="2"/>
    <x v="2"/>
    <x v="2"/>
  </r>
  <r>
    <n v="10533"/>
    <x v="16"/>
    <x v="1"/>
    <n v="2.95"/>
    <n v="745.76"/>
    <x v="2"/>
    <x v="2"/>
    <x v="2"/>
    <x v="2"/>
  </r>
  <r>
    <n v="10534"/>
    <x v="16"/>
    <x v="2"/>
    <n v="4.99"/>
    <n v="200.4"/>
    <x v="2"/>
    <x v="2"/>
    <x v="1"/>
    <x v="1"/>
  </r>
  <r>
    <n v="10535"/>
    <x v="17"/>
    <x v="3"/>
    <n v="12.99"/>
    <n v="477.29"/>
    <x v="2"/>
    <x v="1"/>
    <x v="1"/>
    <x v="1"/>
  </r>
  <r>
    <n v="10536"/>
    <x v="17"/>
    <x v="4"/>
    <n v="9.9499999999999993"/>
    <n v="201.01"/>
    <x v="2"/>
    <x v="1"/>
    <x v="1"/>
    <x v="1"/>
  </r>
  <r>
    <n v="10540"/>
    <x v="18"/>
    <x v="3"/>
    <n v="12.99"/>
    <n v="461.89"/>
    <x v="2"/>
    <x v="1"/>
    <x v="1"/>
    <x v="1"/>
  </r>
  <r>
    <n v="10541"/>
    <x v="18"/>
    <x v="4"/>
    <n v="9.9499999999999993"/>
    <n v="201.01"/>
    <x v="2"/>
    <x v="1"/>
    <x v="0"/>
    <x v="0"/>
  </r>
  <r>
    <n v="10542"/>
    <x v="18"/>
    <x v="0"/>
    <n v="3.49"/>
    <n v="630.37"/>
    <x v="2"/>
    <x v="1"/>
    <x v="0"/>
    <x v="0"/>
  </r>
  <r>
    <n v="10543"/>
    <x v="18"/>
    <x v="1"/>
    <n v="2.95"/>
    <n v="745.76"/>
    <x v="2"/>
    <x v="1"/>
    <x v="0"/>
    <x v="0"/>
  </r>
  <r>
    <n v="10544"/>
    <x v="18"/>
    <x v="2"/>
    <n v="4.99"/>
    <n v="200.4"/>
    <x v="2"/>
    <x v="1"/>
    <x v="0"/>
    <x v="0"/>
  </r>
  <r>
    <n v="10545"/>
    <x v="19"/>
    <x v="3"/>
    <n v="12.99"/>
    <n v="446.5"/>
    <x v="2"/>
    <x v="1"/>
    <x v="0"/>
    <x v="0"/>
  </r>
  <r>
    <n v="10546"/>
    <x v="19"/>
    <x v="4"/>
    <n v="9.9499999999999993"/>
    <n v="201.01"/>
    <x v="2"/>
    <x v="1"/>
    <x v="0"/>
    <x v="0"/>
  </r>
  <r>
    <n v="10547"/>
    <x v="19"/>
    <x v="0"/>
    <n v="3.49"/>
    <n v="630.37"/>
    <x v="2"/>
    <x v="1"/>
    <x v="0"/>
    <x v="0"/>
  </r>
  <r>
    <n v="10548"/>
    <x v="19"/>
    <x v="1"/>
    <n v="2.95"/>
    <n v="745.76"/>
    <x v="2"/>
    <x v="1"/>
    <x v="0"/>
    <x v="0"/>
  </r>
  <r>
    <n v="10549"/>
    <x v="19"/>
    <x v="2"/>
    <n v="4.99"/>
    <n v="200.4"/>
    <x v="2"/>
    <x v="1"/>
    <x v="0"/>
    <x v="0"/>
  </r>
  <r>
    <n v="10550"/>
    <x v="20"/>
    <x v="3"/>
    <n v="12.99"/>
    <n v="461.89"/>
    <x v="2"/>
    <x v="1"/>
    <x v="0"/>
    <x v="0"/>
  </r>
  <r>
    <n v="10551"/>
    <x v="20"/>
    <x v="4"/>
    <n v="9.9499999999999993"/>
    <n v="201.01"/>
    <x v="2"/>
    <x v="1"/>
    <x v="0"/>
    <x v="0"/>
  </r>
  <r>
    <n v="10552"/>
    <x v="20"/>
    <x v="0"/>
    <n v="3.49"/>
    <n v="630.37"/>
    <x v="0"/>
    <x v="1"/>
    <x v="0"/>
    <x v="0"/>
  </r>
  <r>
    <n v="10553"/>
    <x v="20"/>
    <x v="1"/>
    <n v="2.95"/>
    <n v="745.76"/>
    <x v="0"/>
    <x v="1"/>
    <x v="0"/>
    <x v="0"/>
  </r>
  <r>
    <n v="10554"/>
    <x v="20"/>
    <x v="2"/>
    <n v="4.99"/>
    <n v="200.4"/>
    <x v="0"/>
    <x v="1"/>
    <x v="0"/>
    <x v="0"/>
  </r>
  <r>
    <n v="10555"/>
    <x v="21"/>
    <x v="3"/>
    <n v="12.99"/>
    <n v="477.29"/>
    <x v="0"/>
    <x v="1"/>
    <x v="0"/>
    <x v="0"/>
  </r>
  <r>
    <n v="10556"/>
    <x v="21"/>
    <x v="4"/>
    <n v="9.9499999999999993"/>
    <n v="201.01"/>
    <x v="0"/>
    <x v="1"/>
    <x v="0"/>
    <x v="0"/>
  </r>
  <r>
    <n v="10557"/>
    <x v="21"/>
    <x v="0"/>
    <n v="3.49"/>
    <n v="630.37"/>
    <x v="0"/>
    <x v="1"/>
    <x v="0"/>
    <x v="0"/>
  </r>
  <r>
    <n v="10558"/>
    <x v="21"/>
    <x v="1"/>
    <n v="2.95"/>
    <n v="677.97"/>
    <x v="0"/>
    <x v="1"/>
    <x v="0"/>
    <x v="0"/>
  </r>
  <r>
    <n v="10559"/>
    <x v="21"/>
    <x v="2"/>
    <n v="4.99"/>
    <n v="200.4"/>
    <x v="0"/>
    <x v="1"/>
    <x v="0"/>
    <x v="0"/>
  </r>
  <r>
    <n v="10560"/>
    <x v="22"/>
    <x v="3"/>
    <n v="12.99"/>
    <n v="477.29"/>
    <x v="0"/>
    <x v="1"/>
    <x v="0"/>
    <x v="0"/>
  </r>
  <r>
    <n v="10561"/>
    <x v="22"/>
    <x v="4"/>
    <n v="9.9499999999999993"/>
    <n v="201.01"/>
    <x v="0"/>
    <x v="1"/>
    <x v="0"/>
    <x v="0"/>
  </r>
  <r>
    <n v="10562"/>
    <x v="22"/>
    <x v="0"/>
    <n v="3.49"/>
    <n v="630.37"/>
    <x v="0"/>
    <x v="1"/>
    <x v="0"/>
    <x v="0"/>
  </r>
  <r>
    <n v="10563"/>
    <x v="22"/>
    <x v="1"/>
    <n v="2.95"/>
    <n v="677.97"/>
    <x v="0"/>
    <x v="1"/>
    <x v="0"/>
    <x v="0"/>
  </r>
  <r>
    <n v="10564"/>
    <x v="22"/>
    <x v="2"/>
    <n v="4.99"/>
    <n v="200.4"/>
    <x v="0"/>
    <x v="1"/>
    <x v="0"/>
    <x v="0"/>
  </r>
  <r>
    <n v="10565"/>
    <x v="23"/>
    <x v="3"/>
    <n v="12.99"/>
    <n v="492.69"/>
    <x v="0"/>
    <x v="1"/>
    <x v="0"/>
    <x v="0"/>
  </r>
  <r>
    <n v="10566"/>
    <x v="23"/>
    <x v="4"/>
    <n v="9.9499999999999993"/>
    <n v="201.01"/>
    <x v="0"/>
    <x v="1"/>
    <x v="0"/>
    <x v="0"/>
  </r>
  <r>
    <n v="10567"/>
    <x v="23"/>
    <x v="0"/>
    <n v="3.49"/>
    <n v="630.37"/>
    <x v="0"/>
    <x v="1"/>
    <x v="0"/>
    <x v="0"/>
  </r>
  <r>
    <n v="10568"/>
    <x v="23"/>
    <x v="1"/>
    <n v="2.95"/>
    <n v="677.97"/>
    <x v="0"/>
    <x v="1"/>
    <x v="0"/>
    <x v="0"/>
  </r>
  <r>
    <n v="10569"/>
    <x v="23"/>
    <x v="2"/>
    <n v="4.99"/>
    <n v="200.4"/>
    <x v="0"/>
    <x v="1"/>
    <x v="0"/>
    <x v="0"/>
  </r>
  <r>
    <n v="10570"/>
    <x v="24"/>
    <x v="3"/>
    <n v="12.99"/>
    <n v="492.69"/>
    <x v="0"/>
    <x v="1"/>
    <x v="0"/>
    <x v="0"/>
  </r>
  <r>
    <n v="10571"/>
    <x v="24"/>
    <x v="4"/>
    <n v="9.9499999999999993"/>
    <n v="201.01"/>
    <x v="0"/>
    <x v="1"/>
    <x v="0"/>
    <x v="0"/>
  </r>
  <r>
    <n v="10572"/>
    <x v="24"/>
    <x v="0"/>
    <n v="3.49"/>
    <n v="573.07000000000005"/>
    <x v="0"/>
    <x v="1"/>
    <x v="4"/>
    <x v="4"/>
  </r>
  <r>
    <n v="10573"/>
    <x v="24"/>
    <x v="1"/>
    <n v="2.95"/>
    <n v="677.97"/>
    <x v="0"/>
    <x v="1"/>
    <x v="4"/>
    <x v="4"/>
  </r>
  <r>
    <n v="10574"/>
    <x v="24"/>
    <x v="2"/>
    <n v="4.99"/>
    <n v="200.4"/>
    <x v="0"/>
    <x v="1"/>
    <x v="4"/>
    <x v="4"/>
  </r>
  <r>
    <n v="10575"/>
    <x v="25"/>
    <x v="3"/>
    <n v="12.99"/>
    <n v="523.48"/>
    <x v="0"/>
    <x v="1"/>
    <x v="4"/>
    <x v="4"/>
  </r>
  <r>
    <n v="10576"/>
    <x v="25"/>
    <x v="4"/>
    <n v="9.9499999999999993"/>
    <n v="201.01"/>
    <x v="0"/>
    <x v="1"/>
    <x v="4"/>
    <x v="4"/>
  </r>
  <r>
    <n v="10577"/>
    <x v="25"/>
    <x v="0"/>
    <n v="3.49"/>
    <n v="630.37"/>
    <x v="0"/>
    <x v="1"/>
    <x v="4"/>
    <x v="4"/>
  </r>
  <r>
    <n v="10578"/>
    <x v="25"/>
    <x v="1"/>
    <n v="2.95"/>
    <n v="677.97"/>
    <x v="0"/>
    <x v="1"/>
    <x v="4"/>
    <x v="4"/>
  </r>
  <r>
    <n v="10579"/>
    <x v="25"/>
    <x v="2"/>
    <n v="4.99"/>
    <n v="200.4"/>
    <x v="0"/>
    <x v="1"/>
    <x v="4"/>
    <x v="4"/>
  </r>
  <r>
    <n v="10580"/>
    <x v="26"/>
    <x v="3"/>
    <n v="12.99"/>
    <n v="523.48"/>
    <x v="0"/>
    <x v="1"/>
    <x v="4"/>
    <x v="4"/>
  </r>
  <r>
    <n v="10581"/>
    <x v="26"/>
    <x v="4"/>
    <n v="9.9499999999999993"/>
    <n v="201.01"/>
    <x v="0"/>
    <x v="1"/>
    <x v="4"/>
    <x v="4"/>
  </r>
  <r>
    <n v="10582"/>
    <x v="26"/>
    <x v="0"/>
    <n v="3.49"/>
    <n v="630.37"/>
    <x v="0"/>
    <x v="1"/>
    <x v="0"/>
    <x v="0"/>
  </r>
  <r>
    <n v="10583"/>
    <x v="26"/>
    <x v="1"/>
    <n v="2.95"/>
    <n v="677.97"/>
    <x v="0"/>
    <x v="1"/>
    <x v="0"/>
    <x v="0"/>
  </r>
  <r>
    <n v="10584"/>
    <x v="26"/>
    <x v="2"/>
    <n v="4.99"/>
    <n v="200.4"/>
    <x v="0"/>
    <x v="1"/>
    <x v="0"/>
    <x v="0"/>
  </r>
  <r>
    <n v="10585"/>
    <x v="27"/>
    <x v="3"/>
    <n v="12.99"/>
    <n v="538.88"/>
    <x v="0"/>
    <x v="1"/>
    <x v="0"/>
    <x v="0"/>
  </r>
  <r>
    <n v="10586"/>
    <x v="27"/>
    <x v="4"/>
    <n v="9.9499999999999993"/>
    <n v="201.01"/>
    <x v="0"/>
    <x v="1"/>
    <x v="0"/>
    <x v="0"/>
  </r>
  <r>
    <n v="10537"/>
    <x v="17"/>
    <x v="0"/>
    <n v="3.49"/>
    <n v="630.37"/>
    <x v="2"/>
    <x v="1"/>
    <x v="1"/>
    <x v="1"/>
  </r>
  <r>
    <n v="10538"/>
    <x v="17"/>
    <x v="1"/>
    <n v="2.95"/>
    <n v="745.76"/>
    <x v="2"/>
    <x v="1"/>
    <x v="1"/>
    <x v="1"/>
  </r>
  <r>
    <n v="10539"/>
    <x v="17"/>
    <x v="2"/>
    <n v="4.99"/>
    <n v="200.4"/>
    <x v="2"/>
    <x v="1"/>
    <x v="1"/>
    <x v="1"/>
  </r>
  <r>
    <n v="10590"/>
    <x v="28"/>
    <x v="3"/>
    <n v="12.99"/>
    <n v="554.27"/>
    <x v="0"/>
    <x v="1"/>
    <x v="0"/>
    <x v="0"/>
  </r>
  <r>
    <n v="10591"/>
    <x v="28"/>
    <x v="4"/>
    <n v="9.9499999999999993"/>
    <n v="201.01"/>
    <x v="0"/>
    <x v="1"/>
    <x v="0"/>
    <x v="0"/>
  </r>
  <r>
    <n v="10592"/>
    <x v="28"/>
    <x v="0"/>
    <n v="3.49"/>
    <n v="573.07000000000005"/>
    <x v="0"/>
    <x v="1"/>
    <x v="0"/>
    <x v="0"/>
  </r>
  <r>
    <n v="10593"/>
    <x v="28"/>
    <x v="1"/>
    <n v="2.95"/>
    <n v="677.97"/>
    <x v="0"/>
    <x v="1"/>
    <x v="0"/>
    <x v="0"/>
  </r>
  <r>
    <n v="10594"/>
    <x v="28"/>
    <x v="2"/>
    <n v="4.99"/>
    <n v="200.4"/>
    <x v="0"/>
    <x v="1"/>
    <x v="0"/>
    <x v="0"/>
  </r>
  <r>
    <n v="10595"/>
    <x v="29"/>
    <x v="3"/>
    <n v="12.99"/>
    <n v="538.88"/>
    <x v="0"/>
    <x v="1"/>
    <x v="0"/>
    <x v="0"/>
  </r>
  <r>
    <n v="10596"/>
    <x v="29"/>
    <x v="4"/>
    <n v="9.9499999999999993"/>
    <n v="201.01"/>
    <x v="0"/>
    <x v="1"/>
    <x v="0"/>
    <x v="0"/>
  </r>
  <r>
    <n v="10597"/>
    <x v="29"/>
    <x v="0"/>
    <n v="3.49"/>
    <n v="573.07000000000005"/>
    <x v="0"/>
    <x v="1"/>
    <x v="0"/>
    <x v="0"/>
  </r>
  <r>
    <n v="10598"/>
    <x v="29"/>
    <x v="1"/>
    <n v="2.95"/>
    <n v="677.97"/>
    <x v="0"/>
    <x v="1"/>
    <x v="0"/>
    <x v="0"/>
  </r>
  <r>
    <n v="10599"/>
    <x v="29"/>
    <x v="2"/>
    <n v="4.99"/>
    <n v="200.4"/>
    <x v="0"/>
    <x v="1"/>
    <x v="0"/>
    <x v="0"/>
  </r>
  <r>
    <n v="10600"/>
    <x v="30"/>
    <x v="3"/>
    <n v="12.99"/>
    <n v="523.48"/>
    <x v="0"/>
    <x v="1"/>
    <x v="0"/>
    <x v="0"/>
  </r>
  <r>
    <n v="10601"/>
    <x v="30"/>
    <x v="4"/>
    <n v="9.9499999999999993"/>
    <n v="201.01"/>
    <x v="0"/>
    <x v="1"/>
    <x v="0"/>
    <x v="0"/>
  </r>
  <r>
    <n v="10602"/>
    <x v="30"/>
    <x v="0"/>
    <n v="3.49"/>
    <n v="630.37"/>
    <x v="0"/>
    <x v="2"/>
    <x v="0"/>
    <x v="0"/>
  </r>
  <r>
    <n v="10603"/>
    <x v="30"/>
    <x v="1"/>
    <n v="2.95"/>
    <n v="677.97"/>
    <x v="0"/>
    <x v="2"/>
    <x v="0"/>
    <x v="0"/>
  </r>
  <r>
    <n v="10604"/>
    <x v="30"/>
    <x v="2"/>
    <n v="4.99"/>
    <n v="200.4"/>
    <x v="0"/>
    <x v="2"/>
    <x v="0"/>
    <x v="0"/>
  </r>
  <r>
    <n v="10605"/>
    <x v="31"/>
    <x v="3"/>
    <n v="12.99"/>
    <n v="538.88"/>
    <x v="0"/>
    <x v="2"/>
    <x v="0"/>
    <x v="0"/>
  </r>
  <r>
    <n v="10606"/>
    <x v="31"/>
    <x v="4"/>
    <n v="9.9499999999999993"/>
    <n v="201.01"/>
    <x v="0"/>
    <x v="2"/>
    <x v="0"/>
    <x v="0"/>
  </r>
  <r>
    <n v="10607"/>
    <x v="31"/>
    <x v="0"/>
    <n v="3.49"/>
    <n v="630.37"/>
    <x v="0"/>
    <x v="2"/>
    <x v="0"/>
    <x v="0"/>
  </r>
  <r>
    <n v="10608"/>
    <x v="31"/>
    <x v="1"/>
    <n v="2.95"/>
    <n v="677.97"/>
    <x v="0"/>
    <x v="0"/>
    <x v="0"/>
    <x v="0"/>
  </r>
  <r>
    <n v="10609"/>
    <x v="31"/>
    <x v="2"/>
    <n v="4.99"/>
    <n v="200.4"/>
    <x v="0"/>
    <x v="0"/>
    <x v="0"/>
    <x v="0"/>
  </r>
  <r>
    <n v="10610"/>
    <x v="32"/>
    <x v="3"/>
    <n v="12.99"/>
    <n v="569.66999999999996"/>
    <x v="0"/>
    <x v="0"/>
    <x v="0"/>
    <x v="0"/>
  </r>
  <r>
    <n v="10611"/>
    <x v="32"/>
    <x v="4"/>
    <n v="9.9499999999999993"/>
    <n v="201.01"/>
    <x v="0"/>
    <x v="0"/>
    <x v="0"/>
    <x v="0"/>
  </r>
  <r>
    <n v="10612"/>
    <x v="32"/>
    <x v="0"/>
    <n v="3.49"/>
    <n v="630.37"/>
    <x v="0"/>
    <x v="0"/>
    <x v="0"/>
    <x v="0"/>
  </r>
  <r>
    <n v="10613"/>
    <x v="32"/>
    <x v="1"/>
    <n v="2.95"/>
    <n v="677.97"/>
    <x v="0"/>
    <x v="0"/>
    <x v="0"/>
    <x v="0"/>
  </r>
  <r>
    <n v="10614"/>
    <x v="32"/>
    <x v="2"/>
    <n v="4.99"/>
    <n v="200.4"/>
    <x v="0"/>
    <x v="0"/>
    <x v="0"/>
    <x v="0"/>
  </r>
  <r>
    <n v="10615"/>
    <x v="33"/>
    <x v="3"/>
    <n v="12.99"/>
    <n v="569.66999999999996"/>
    <x v="0"/>
    <x v="0"/>
    <x v="0"/>
    <x v="0"/>
  </r>
  <r>
    <n v="10616"/>
    <x v="33"/>
    <x v="4"/>
    <n v="9.9499999999999993"/>
    <n v="201.01"/>
    <x v="0"/>
    <x v="0"/>
    <x v="0"/>
    <x v="0"/>
  </r>
  <r>
    <n v="10617"/>
    <x v="33"/>
    <x v="0"/>
    <n v="3.49"/>
    <n v="630.37"/>
    <x v="0"/>
    <x v="0"/>
    <x v="0"/>
    <x v="0"/>
  </r>
  <r>
    <n v="10618"/>
    <x v="33"/>
    <x v="1"/>
    <n v="2.95"/>
    <n v="677.97"/>
    <x v="0"/>
    <x v="0"/>
    <x v="0"/>
    <x v="0"/>
  </r>
  <r>
    <n v="10619"/>
    <x v="33"/>
    <x v="2"/>
    <n v="4.99"/>
    <n v="200.4"/>
    <x v="0"/>
    <x v="0"/>
    <x v="0"/>
    <x v="0"/>
  </r>
  <r>
    <n v="10620"/>
    <x v="34"/>
    <x v="3"/>
    <n v="12.99"/>
    <n v="585.07000000000005"/>
    <x v="0"/>
    <x v="0"/>
    <x v="0"/>
    <x v="0"/>
  </r>
  <r>
    <n v="10621"/>
    <x v="34"/>
    <x v="4"/>
    <n v="9.9499999999999993"/>
    <n v="201.01"/>
    <x v="0"/>
    <x v="0"/>
    <x v="0"/>
    <x v="0"/>
  </r>
  <r>
    <n v="10622"/>
    <x v="34"/>
    <x v="0"/>
    <n v="3.49"/>
    <n v="630.37"/>
    <x v="0"/>
    <x v="0"/>
    <x v="0"/>
    <x v="0"/>
  </r>
  <r>
    <n v="10623"/>
    <x v="34"/>
    <x v="1"/>
    <n v="2.95"/>
    <n v="745.76"/>
    <x v="0"/>
    <x v="0"/>
    <x v="0"/>
    <x v="0"/>
  </r>
  <r>
    <n v="10624"/>
    <x v="34"/>
    <x v="2"/>
    <n v="4.99"/>
    <n v="200.4"/>
    <x v="0"/>
    <x v="0"/>
    <x v="0"/>
    <x v="0"/>
  </r>
  <r>
    <n v="10625"/>
    <x v="35"/>
    <x v="3"/>
    <n v="12.99"/>
    <n v="569.66999999999996"/>
    <x v="0"/>
    <x v="0"/>
    <x v="0"/>
    <x v="0"/>
  </r>
  <r>
    <n v="10626"/>
    <x v="35"/>
    <x v="4"/>
    <n v="9.9499999999999993"/>
    <n v="201.01"/>
    <x v="0"/>
    <x v="0"/>
    <x v="0"/>
    <x v="0"/>
  </r>
  <r>
    <n v="10627"/>
    <x v="35"/>
    <x v="0"/>
    <n v="3.49"/>
    <n v="630.37"/>
    <x v="0"/>
    <x v="0"/>
    <x v="0"/>
    <x v="0"/>
  </r>
  <r>
    <n v="10628"/>
    <x v="35"/>
    <x v="1"/>
    <n v="2.95"/>
    <n v="677.97"/>
    <x v="0"/>
    <x v="0"/>
    <x v="2"/>
    <x v="2"/>
  </r>
  <r>
    <n v="10629"/>
    <x v="35"/>
    <x v="2"/>
    <n v="4.99"/>
    <n v="200.4"/>
    <x v="0"/>
    <x v="0"/>
    <x v="2"/>
    <x v="2"/>
  </r>
  <r>
    <n v="10630"/>
    <x v="36"/>
    <x v="3"/>
    <n v="12.99"/>
    <n v="569.66999999999996"/>
    <x v="0"/>
    <x v="2"/>
    <x v="2"/>
    <x v="2"/>
  </r>
  <r>
    <n v="10631"/>
    <x v="36"/>
    <x v="4"/>
    <n v="9.9499999999999993"/>
    <n v="201.01"/>
    <x v="0"/>
    <x v="0"/>
    <x v="2"/>
    <x v="2"/>
  </r>
  <r>
    <n v="10632"/>
    <x v="36"/>
    <x v="0"/>
    <n v="3.49"/>
    <n v="630.37"/>
    <x v="0"/>
    <x v="0"/>
    <x v="2"/>
    <x v="2"/>
  </r>
  <r>
    <n v="10633"/>
    <x v="36"/>
    <x v="1"/>
    <n v="2.95"/>
    <n v="677.97"/>
    <x v="0"/>
    <x v="0"/>
    <x v="2"/>
    <x v="2"/>
  </r>
  <r>
    <n v="10634"/>
    <x v="36"/>
    <x v="2"/>
    <n v="4.99"/>
    <n v="200.4"/>
    <x v="0"/>
    <x v="0"/>
    <x v="2"/>
    <x v="2"/>
  </r>
  <r>
    <n v="10635"/>
    <x v="37"/>
    <x v="3"/>
    <n v="12.99"/>
    <n v="554.27"/>
    <x v="0"/>
    <x v="0"/>
    <x v="2"/>
    <x v="2"/>
  </r>
  <r>
    <n v="10636"/>
    <x v="37"/>
    <x v="4"/>
    <n v="9.9499999999999993"/>
    <n v="221.11"/>
    <x v="0"/>
    <x v="0"/>
    <x v="2"/>
    <x v="2"/>
  </r>
  <r>
    <n v="10637"/>
    <x v="37"/>
    <x v="0"/>
    <n v="3.49"/>
    <n v="630.37"/>
    <x v="0"/>
    <x v="0"/>
    <x v="2"/>
    <x v="2"/>
  </r>
  <r>
    <n v="10638"/>
    <x v="37"/>
    <x v="1"/>
    <n v="2.95"/>
    <n v="677.97"/>
    <x v="0"/>
    <x v="0"/>
    <x v="2"/>
    <x v="2"/>
  </r>
  <r>
    <n v="10639"/>
    <x v="37"/>
    <x v="2"/>
    <n v="4.99"/>
    <n v="200.4"/>
    <x v="0"/>
    <x v="0"/>
    <x v="2"/>
    <x v="2"/>
  </r>
  <r>
    <n v="10640"/>
    <x v="38"/>
    <x v="3"/>
    <n v="12.99"/>
    <n v="538.88"/>
    <x v="0"/>
    <x v="0"/>
    <x v="2"/>
    <x v="2"/>
  </r>
  <r>
    <n v="10641"/>
    <x v="38"/>
    <x v="4"/>
    <n v="9.9499999999999993"/>
    <n v="221.11"/>
    <x v="0"/>
    <x v="0"/>
    <x v="2"/>
    <x v="2"/>
  </r>
  <r>
    <n v="10642"/>
    <x v="38"/>
    <x v="0"/>
    <n v="3.49"/>
    <n v="630.37"/>
    <x v="0"/>
    <x v="2"/>
    <x v="2"/>
    <x v="2"/>
  </r>
  <r>
    <n v="10643"/>
    <x v="38"/>
    <x v="1"/>
    <n v="2.95"/>
    <n v="677.97"/>
    <x v="0"/>
    <x v="2"/>
    <x v="2"/>
    <x v="2"/>
  </r>
  <r>
    <n v="10644"/>
    <x v="38"/>
    <x v="2"/>
    <n v="4.99"/>
    <n v="200.4"/>
    <x v="0"/>
    <x v="2"/>
    <x v="2"/>
    <x v="2"/>
  </r>
  <r>
    <n v="10645"/>
    <x v="39"/>
    <x v="3"/>
    <n v="12.99"/>
    <n v="569.66999999999996"/>
    <x v="0"/>
    <x v="2"/>
    <x v="2"/>
    <x v="2"/>
  </r>
  <r>
    <n v="10646"/>
    <x v="39"/>
    <x v="4"/>
    <n v="9.9499999999999993"/>
    <n v="221.11"/>
    <x v="0"/>
    <x v="2"/>
    <x v="2"/>
    <x v="2"/>
  </r>
  <r>
    <n v="10647"/>
    <x v="39"/>
    <x v="0"/>
    <n v="3.49"/>
    <n v="630.37"/>
    <x v="0"/>
    <x v="0"/>
    <x v="2"/>
    <x v="2"/>
  </r>
  <r>
    <n v="10648"/>
    <x v="39"/>
    <x v="1"/>
    <n v="2.95"/>
    <n v="745.76"/>
    <x v="0"/>
    <x v="0"/>
    <x v="2"/>
    <x v="2"/>
  </r>
  <r>
    <n v="10649"/>
    <x v="39"/>
    <x v="2"/>
    <n v="4.99"/>
    <n v="200.4"/>
    <x v="0"/>
    <x v="0"/>
    <x v="2"/>
    <x v="2"/>
  </r>
  <r>
    <n v="10650"/>
    <x v="40"/>
    <x v="3"/>
    <n v="12.99"/>
    <n v="585.07000000000005"/>
    <x v="0"/>
    <x v="0"/>
    <x v="2"/>
    <x v="2"/>
  </r>
  <r>
    <n v="10651"/>
    <x v="40"/>
    <x v="4"/>
    <n v="9.9499999999999993"/>
    <n v="221.11"/>
    <x v="0"/>
    <x v="0"/>
    <x v="2"/>
    <x v="2"/>
  </r>
  <r>
    <n v="10652"/>
    <x v="40"/>
    <x v="0"/>
    <n v="3.49"/>
    <n v="687.68"/>
    <x v="0"/>
    <x v="0"/>
    <x v="2"/>
    <x v="2"/>
  </r>
  <r>
    <n v="10653"/>
    <x v="40"/>
    <x v="1"/>
    <n v="2.95"/>
    <n v="745.76"/>
    <x v="0"/>
    <x v="0"/>
    <x v="2"/>
    <x v="2"/>
  </r>
  <r>
    <n v="10654"/>
    <x v="40"/>
    <x v="2"/>
    <n v="4.99"/>
    <n v="200.4"/>
    <x v="0"/>
    <x v="0"/>
    <x v="2"/>
    <x v="2"/>
  </r>
  <r>
    <n v="10655"/>
    <x v="41"/>
    <x v="3"/>
    <n v="12.99"/>
    <n v="600.46"/>
    <x v="0"/>
    <x v="0"/>
    <x v="2"/>
    <x v="2"/>
  </r>
  <r>
    <n v="10656"/>
    <x v="41"/>
    <x v="4"/>
    <n v="9.9499999999999993"/>
    <n v="221.11"/>
    <x v="0"/>
    <x v="0"/>
    <x v="2"/>
    <x v="2"/>
  </r>
  <r>
    <n v="10657"/>
    <x v="41"/>
    <x v="0"/>
    <n v="3.49"/>
    <n v="687.68"/>
    <x v="0"/>
    <x v="0"/>
    <x v="2"/>
    <x v="2"/>
  </r>
  <r>
    <n v="10658"/>
    <x v="41"/>
    <x v="1"/>
    <n v="2.95"/>
    <n v="745.76"/>
    <x v="0"/>
    <x v="2"/>
    <x v="2"/>
    <x v="2"/>
  </r>
  <r>
    <n v="10659"/>
    <x v="41"/>
    <x v="2"/>
    <n v="4.99"/>
    <n v="200.4"/>
    <x v="0"/>
    <x v="2"/>
    <x v="2"/>
    <x v="2"/>
  </r>
  <r>
    <n v="10660"/>
    <x v="42"/>
    <x v="3"/>
    <n v="12.99"/>
    <n v="631.25"/>
    <x v="1"/>
    <x v="2"/>
    <x v="2"/>
    <x v="2"/>
  </r>
  <r>
    <n v="10661"/>
    <x v="42"/>
    <x v="4"/>
    <n v="9.9499999999999993"/>
    <n v="221.11"/>
    <x v="1"/>
    <x v="2"/>
    <x v="2"/>
    <x v="2"/>
  </r>
  <r>
    <n v="10662"/>
    <x v="42"/>
    <x v="0"/>
    <n v="3.49"/>
    <n v="630.37"/>
    <x v="1"/>
    <x v="2"/>
    <x v="2"/>
    <x v="2"/>
  </r>
  <r>
    <n v="10663"/>
    <x v="42"/>
    <x v="1"/>
    <n v="2.95"/>
    <n v="745.76"/>
    <x v="1"/>
    <x v="2"/>
    <x v="2"/>
    <x v="2"/>
  </r>
  <r>
    <n v="10664"/>
    <x v="42"/>
    <x v="2"/>
    <n v="4.99"/>
    <n v="200.4"/>
    <x v="1"/>
    <x v="2"/>
    <x v="2"/>
    <x v="2"/>
  </r>
  <r>
    <n v="10665"/>
    <x v="43"/>
    <x v="3"/>
    <n v="12.99"/>
    <n v="646.65"/>
    <x v="1"/>
    <x v="2"/>
    <x v="2"/>
    <x v="2"/>
  </r>
  <r>
    <n v="10666"/>
    <x v="43"/>
    <x v="4"/>
    <n v="9.9499999999999993"/>
    <n v="221.11"/>
    <x v="1"/>
    <x v="2"/>
    <x v="2"/>
    <x v="2"/>
  </r>
  <r>
    <n v="10667"/>
    <x v="43"/>
    <x v="0"/>
    <n v="3.49"/>
    <n v="630.37"/>
    <x v="1"/>
    <x v="2"/>
    <x v="2"/>
    <x v="2"/>
  </r>
  <r>
    <n v="10668"/>
    <x v="43"/>
    <x v="1"/>
    <n v="2.95"/>
    <n v="745.76"/>
    <x v="1"/>
    <x v="2"/>
    <x v="2"/>
    <x v="2"/>
  </r>
  <r>
    <n v="10669"/>
    <x v="43"/>
    <x v="2"/>
    <n v="4.99"/>
    <n v="200.4"/>
    <x v="1"/>
    <x v="2"/>
    <x v="2"/>
    <x v="2"/>
  </r>
  <r>
    <n v="10670"/>
    <x v="44"/>
    <x v="3"/>
    <n v="12.99"/>
    <n v="677.44"/>
    <x v="1"/>
    <x v="2"/>
    <x v="2"/>
    <x v="2"/>
  </r>
  <r>
    <n v="10671"/>
    <x v="44"/>
    <x v="4"/>
    <n v="9.9499999999999993"/>
    <n v="221.11"/>
    <x v="1"/>
    <x v="2"/>
    <x v="2"/>
    <x v="2"/>
  </r>
  <r>
    <n v="10672"/>
    <x v="44"/>
    <x v="0"/>
    <n v="3.49"/>
    <n v="630.37"/>
    <x v="1"/>
    <x v="2"/>
    <x v="2"/>
    <x v="2"/>
  </r>
  <r>
    <n v="10673"/>
    <x v="44"/>
    <x v="1"/>
    <n v="2.95"/>
    <n v="745.76"/>
    <x v="1"/>
    <x v="2"/>
    <x v="2"/>
    <x v="2"/>
  </r>
  <r>
    <n v="10674"/>
    <x v="44"/>
    <x v="2"/>
    <n v="4.99"/>
    <n v="200.4"/>
    <x v="1"/>
    <x v="2"/>
    <x v="2"/>
    <x v="2"/>
  </r>
  <r>
    <n v="10675"/>
    <x v="45"/>
    <x v="3"/>
    <n v="12.99"/>
    <n v="677.44"/>
    <x v="1"/>
    <x v="2"/>
    <x v="2"/>
    <x v="2"/>
  </r>
  <r>
    <n v="10676"/>
    <x v="45"/>
    <x v="4"/>
    <n v="9.9499999999999993"/>
    <n v="241.21"/>
    <x v="1"/>
    <x v="2"/>
    <x v="2"/>
    <x v="2"/>
  </r>
  <r>
    <n v="10677"/>
    <x v="45"/>
    <x v="0"/>
    <n v="3.49"/>
    <n v="630.37"/>
    <x v="1"/>
    <x v="2"/>
    <x v="2"/>
    <x v="2"/>
  </r>
  <r>
    <n v="10678"/>
    <x v="45"/>
    <x v="1"/>
    <n v="2.95"/>
    <n v="745.76"/>
    <x v="1"/>
    <x v="2"/>
    <x v="2"/>
    <x v="2"/>
  </r>
  <r>
    <n v="10679"/>
    <x v="45"/>
    <x v="2"/>
    <n v="4.99"/>
    <n v="200.4"/>
    <x v="1"/>
    <x v="2"/>
    <x v="2"/>
    <x v="2"/>
  </r>
  <r>
    <n v="10680"/>
    <x v="46"/>
    <x v="3"/>
    <n v="12.99"/>
    <n v="646.65"/>
    <x v="1"/>
    <x v="2"/>
    <x v="2"/>
    <x v="2"/>
  </r>
  <r>
    <n v="10681"/>
    <x v="46"/>
    <x v="4"/>
    <n v="9.9499999999999993"/>
    <n v="241.21"/>
    <x v="1"/>
    <x v="2"/>
    <x v="2"/>
    <x v="2"/>
  </r>
  <r>
    <n v="10682"/>
    <x v="46"/>
    <x v="0"/>
    <n v="3.49"/>
    <n v="630.37"/>
    <x v="1"/>
    <x v="2"/>
    <x v="2"/>
    <x v="2"/>
  </r>
  <r>
    <n v="10683"/>
    <x v="46"/>
    <x v="1"/>
    <n v="2.95"/>
    <n v="677.97"/>
    <x v="1"/>
    <x v="2"/>
    <x v="2"/>
    <x v="2"/>
  </r>
  <r>
    <n v="10684"/>
    <x v="46"/>
    <x v="2"/>
    <n v="4.99"/>
    <n v="200.4"/>
    <x v="1"/>
    <x v="2"/>
    <x v="2"/>
    <x v="2"/>
  </r>
  <r>
    <n v="10685"/>
    <x v="47"/>
    <x v="3"/>
    <n v="12.99"/>
    <n v="677.44"/>
    <x v="1"/>
    <x v="2"/>
    <x v="2"/>
    <x v="2"/>
  </r>
  <r>
    <n v="10686"/>
    <x v="47"/>
    <x v="4"/>
    <n v="9.9499999999999993"/>
    <n v="241.21"/>
    <x v="1"/>
    <x v="2"/>
    <x v="2"/>
    <x v="2"/>
  </r>
  <r>
    <n v="10687"/>
    <x v="47"/>
    <x v="0"/>
    <n v="3.49"/>
    <n v="630.37"/>
    <x v="1"/>
    <x v="2"/>
    <x v="3"/>
    <x v="3"/>
  </r>
  <r>
    <n v="10688"/>
    <x v="47"/>
    <x v="1"/>
    <n v="2.95"/>
    <n v="677.97"/>
    <x v="1"/>
    <x v="2"/>
    <x v="3"/>
    <x v="3"/>
  </r>
  <r>
    <n v="10689"/>
    <x v="47"/>
    <x v="2"/>
    <n v="4.99"/>
    <n v="200.4"/>
    <x v="1"/>
    <x v="2"/>
    <x v="3"/>
    <x v="3"/>
  </r>
  <r>
    <n v="10690"/>
    <x v="48"/>
    <x v="3"/>
    <n v="12.99"/>
    <n v="677.44"/>
    <x v="1"/>
    <x v="2"/>
    <x v="3"/>
    <x v="3"/>
  </r>
  <r>
    <n v="10691"/>
    <x v="48"/>
    <x v="4"/>
    <n v="9.9499999999999993"/>
    <n v="261.31"/>
    <x v="1"/>
    <x v="2"/>
    <x v="3"/>
    <x v="3"/>
  </r>
  <r>
    <n v="10692"/>
    <x v="48"/>
    <x v="0"/>
    <n v="3.49"/>
    <n v="630.37"/>
    <x v="1"/>
    <x v="2"/>
    <x v="3"/>
    <x v="3"/>
  </r>
  <r>
    <n v="10693"/>
    <x v="48"/>
    <x v="1"/>
    <n v="2.95"/>
    <n v="677.97"/>
    <x v="1"/>
    <x v="2"/>
    <x v="3"/>
    <x v="3"/>
  </r>
  <r>
    <n v="10694"/>
    <x v="48"/>
    <x v="2"/>
    <n v="4.99"/>
    <n v="200.4"/>
    <x v="1"/>
    <x v="2"/>
    <x v="3"/>
    <x v="3"/>
  </r>
  <r>
    <n v="10695"/>
    <x v="49"/>
    <x v="3"/>
    <n v="12.99"/>
    <n v="692.84"/>
    <x v="1"/>
    <x v="2"/>
    <x v="3"/>
    <x v="3"/>
  </r>
  <r>
    <n v="10696"/>
    <x v="49"/>
    <x v="4"/>
    <n v="9.9499999999999993"/>
    <n v="281.41000000000003"/>
    <x v="1"/>
    <x v="2"/>
    <x v="3"/>
    <x v="3"/>
  </r>
  <r>
    <n v="10697"/>
    <x v="49"/>
    <x v="0"/>
    <n v="3.49"/>
    <n v="630.37"/>
    <x v="1"/>
    <x v="2"/>
    <x v="3"/>
    <x v="3"/>
  </r>
  <r>
    <n v="10698"/>
    <x v="49"/>
    <x v="1"/>
    <n v="2.95"/>
    <n v="677.97"/>
    <x v="1"/>
    <x v="2"/>
    <x v="3"/>
    <x v="3"/>
  </r>
  <r>
    <n v="10699"/>
    <x v="49"/>
    <x v="2"/>
    <n v="4.99"/>
    <n v="200.4"/>
    <x v="1"/>
    <x v="2"/>
    <x v="3"/>
    <x v="3"/>
  </r>
  <r>
    <n v="10700"/>
    <x v="50"/>
    <x v="3"/>
    <n v="12.99"/>
    <n v="692.84"/>
    <x v="1"/>
    <x v="2"/>
    <x v="3"/>
    <x v="3"/>
  </r>
  <r>
    <n v="10701"/>
    <x v="50"/>
    <x v="4"/>
    <n v="9.9499999999999993"/>
    <n v="281.41000000000003"/>
    <x v="1"/>
    <x v="2"/>
    <x v="3"/>
    <x v="3"/>
  </r>
  <r>
    <n v="10702"/>
    <x v="50"/>
    <x v="0"/>
    <n v="3.49"/>
    <n v="630.37"/>
    <x v="1"/>
    <x v="2"/>
    <x v="3"/>
    <x v="3"/>
  </r>
  <r>
    <n v="10703"/>
    <x v="50"/>
    <x v="1"/>
    <n v="2.95"/>
    <n v="677.97"/>
    <x v="1"/>
    <x v="0"/>
    <x v="3"/>
    <x v="3"/>
  </r>
  <r>
    <n v="10704"/>
    <x v="50"/>
    <x v="2"/>
    <n v="4.99"/>
    <n v="200.4"/>
    <x v="2"/>
    <x v="0"/>
    <x v="3"/>
    <x v="3"/>
  </r>
  <r>
    <n v="10705"/>
    <x v="51"/>
    <x v="3"/>
    <n v="12.99"/>
    <n v="723.63"/>
    <x v="2"/>
    <x v="0"/>
    <x v="3"/>
    <x v="3"/>
  </r>
  <r>
    <n v="10706"/>
    <x v="51"/>
    <x v="4"/>
    <n v="9.9499999999999993"/>
    <n v="301.51"/>
    <x v="2"/>
    <x v="0"/>
    <x v="3"/>
    <x v="3"/>
  </r>
  <r>
    <n v="10707"/>
    <x v="51"/>
    <x v="0"/>
    <n v="3.49"/>
    <n v="630.37"/>
    <x v="2"/>
    <x v="0"/>
    <x v="3"/>
    <x v="3"/>
  </r>
  <r>
    <n v="10708"/>
    <x v="51"/>
    <x v="1"/>
    <n v="2.95"/>
    <n v="677.97"/>
    <x v="2"/>
    <x v="0"/>
    <x v="3"/>
    <x v="3"/>
  </r>
  <r>
    <n v="10709"/>
    <x v="51"/>
    <x v="2"/>
    <n v="4.99"/>
    <n v="200.4"/>
    <x v="2"/>
    <x v="0"/>
    <x v="3"/>
    <x v="3"/>
  </r>
  <r>
    <n v="10710"/>
    <x v="52"/>
    <x v="3"/>
    <n v="12.99"/>
    <n v="754.43"/>
    <x v="2"/>
    <x v="0"/>
    <x v="3"/>
    <x v="3"/>
  </r>
  <r>
    <n v="10711"/>
    <x v="52"/>
    <x v="4"/>
    <n v="9.9499999999999993"/>
    <n v="281.41000000000003"/>
    <x v="2"/>
    <x v="0"/>
    <x v="3"/>
    <x v="3"/>
  </r>
  <r>
    <n v="10712"/>
    <x v="52"/>
    <x v="0"/>
    <n v="3.49"/>
    <n v="630.37"/>
    <x v="2"/>
    <x v="0"/>
    <x v="3"/>
    <x v="3"/>
  </r>
  <r>
    <n v="10713"/>
    <x v="52"/>
    <x v="1"/>
    <n v="2.95"/>
    <n v="677.97"/>
    <x v="2"/>
    <x v="0"/>
    <x v="3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1803.9900000000043"/>
  </r>
  <r>
    <x v="1"/>
    <n v="116995.30999999987"/>
  </r>
  <r>
    <x v="2"/>
    <n v="211058369.28690025"/>
  </r>
  <r>
    <x v="3"/>
    <n v="830938.4617594498"/>
  </r>
  <r>
    <x v="4"/>
    <n v="2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7ABE28-5CFC-423A-8C00-C47BF6AC63D3}" name="Tabela dinâ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3">
  <location ref="G47:H53" firstHeaderRow="1" firstDataRow="1" firstDataCol="1"/>
  <pivotFields count="11">
    <pivotField showAll="0"/>
    <pivotField numFmtId="14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showAll="0">
      <items count="6">
        <item x="1"/>
        <item x="3"/>
        <item x="4"/>
        <item x="0"/>
        <item x="2"/>
        <item t="default"/>
      </items>
    </pivotField>
    <pivotField dataField="1" numFmtId="164" showAll="0"/>
    <pivotField showAll="0"/>
    <pivotField showAll="0">
      <items count="4">
        <item x="2"/>
        <item x="1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axis="axisRow" showAll="0">
      <items count="6">
        <item x="2"/>
        <item x="1"/>
        <item x="4"/>
        <item x="0"/>
        <item x="3"/>
        <item t="default"/>
      </items>
    </pivotField>
    <pivotField showAll="0">
      <items count="6">
        <item x="3"/>
        <item x="2"/>
        <item x="0"/>
        <item x="1"/>
        <item x="4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 Price " fld="3" baseField="0" baseItem="0"/>
  </dataFields>
  <formats count="2">
    <format dxfId="7">
      <pivotArea dataOnly="0" labelOnly="1" outline="0" axis="axisValues" fieldPosition="0"/>
    </format>
    <format dxfId="6">
      <pivotArea outline="0" collapsedLevelsAreSubtotals="1" fieldPosition="0"/>
    </format>
  </formats>
  <chartFormats count="7">
    <chartFormat chart="5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9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59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9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59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59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C22D5D-5FBF-4FF0-B8E5-7BADF8E060E0}" name="Tabela dinâ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6">
  <location ref="G39:H43" firstHeaderRow="1" firstDataRow="1" firstDataCol="1"/>
  <pivotFields count="11">
    <pivotField showAll="0"/>
    <pivotField numFmtId="14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showAll="0"/>
    <pivotField numFmtId="164" showAll="0"/>
    <pivotField dataField="1" showAll="0"/>
    <pivotField axis="axisRow" showAll="0">
      <items count="4">
        <item x="2"/>
        <item x="1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>
      <items count="6">
        <item x="3"/>
        <item x="2"/>
        <item x="0"/>
        <item x="1"/>
        <item x="4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Quantity" fld="4" subtotal="count" baseField="5" baseItem="0"/>
  </dataFields>
  <formats count="2">
    <format dxfId="9">
      <pivotArea dataOnly="0" labelOnly="1" outline="0" axis="axisValues" fieldPosition="0"/>
    </format>
    <format dxfId="8">
      <pivotArea outline="0" collapsedLevelsAreSubtotals="1" fieldPosition="0"/>
    </format>
  </formats>
  <chartFormats count="8"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3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3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3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9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9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9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BA2F54-E830-4C5A-8E9A-02FA746E865A}" name="Tabela dinâ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8:C34" firstHeaderRow="1" firstDataRow="1" firstDataCol="1"/>
  <pivotFields count="2">
    <pivotField axis="axisRow" showAll="0">
      <items count="6">
        <item x="2"/>
        <item x="3"/>
        <item x="4"/>
        <item x="1"/>
        <item x="0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Coluna1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BE5611-E687-4195-A158-3348ECB7F8E3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5">
  <location ref="H3:I9" firstHeaderRow="1" firstDataRow="1" firstDataCol="1"/>
  <pivotFields count="11">
    <pivotField showAll="0"/>
    <pivotField numFmtId="14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axis="axisRow" showAll="0">
      <items count="6">
        <item x="2"/>
        <item x="0"/>
        <item x="4"/>
        <item x="3"/>
        <item x="1"/>
        <item t="default"/>
      </items>
    </pivotField>
    <pivotField numFmtId="164" showAll="0"/>
    <pivotField dataField="1" showAll="0"/>
    <pivotField showAll="0">
      <items count="4">
        <item x="2"/>
        <item x="1"/>
        <item x="0"/>
        <item t="default"/>
      </items>
    </pivotField>
    <pivotField showAll="0"/>
    <pivotField showAll="0">
      <items count="6">
        <item x="2"/>
        <item x="1"/>
        <item x="4"/>
        <item x="0"/>
        <item x="3"/>
        <item t="default"/>
      </items>
    </pivotField>
    <pivotField showAll="0">
      <items count="6">
        <item x="3"/>
        <item x="2"/>
        <item x="0"/>
        <item x="1"/>
        <item x="4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Quantity" fld="4" baseField="0" baseItem="0"/>
  </dataFields>
  <formats count="2">
    <format dxfId="11">
      <pivotArea outline="0" collapsedLevelsAreSubtotals="1" fieldPosition="0"/>
    </format>
    <format dxfId="10">
      <pivotArea dataOnly="0" labelOnly="1" outline="0" axis="axisValues" fieldPosition="0"/>
    </format>
  </formats>
  <chartFormats count="3"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F02DAE-D55D-4C2E-8389-FF9CBDBD2080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4">
  <location ref="D4:E10" firstHeaderRow="1" firstDataRow="1" firstDataCol="1"/>
  <pivotFields count="11">
    <pivotField showAll="0"/>
    <pivotField numFmtId="14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showAll="0"/>
    <pivotField numFmtId="164" showAll="0"/>
    <pivotField dataField="1" showAll="0"/>
    <pivotField showAll="0">
      <items count="4">
        <item x="2"/>
        <item x="1"/>
        <item x="0"/>
        <item t="default"/>
      </items>
    </pivotField>
    <pivotField showAll="0"/>
    <pivotField showAll="0">
      <items count="6">
        <item x="2"/>
        <item x="1"/>
        <item x="4"/>
        <item x="0"/>
        <item x="3"/>
        <item t="default"/>
      </items>
    </pivotField>
    <pivotField axis="axisRow" showAll="0" sortType="descending">
      <items count="6">
        <item x="3"/>
        <item x="2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6">
    <i>
      <x v="1"/>
    </i>
    <i>
      <x v="2"/>
    </i>
    <i>
      <x v="3"/>
    </i>
    <i>
      <x/>
    </i>
    <i>
      <x v="4"/>
    </i>
    <i t="grand">
      <x/>
    </i>
  </rowItems>
  <colItems count="1">
    <i/>
  </colItems>
  <dataFields count="1">
    <dataField name="Soma de Quantity" fld="4" baseField="0" baseItem="0" numFmtId="4"/>
  </dataFields>
  <formats count="2">
    <format dxfId="13">
      <pivotArea outline="0" collapsedLevelsAreSubtotals="1" fieldPosition="0"/>
    </format>
    <format dxfId="12">
      <pivotArea dataOnly="0" labelOnly="1" outline="0" axis="axisValues" fieldPosition="0"/>
    </format>
  </formats>
  <chartFormats count="2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DF5372-0DCF-442C-BDC9-82C227997685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B10" firstHeaderRow="1" firstDataRow="1" firstDataCol="1"/>
  <pivotFields count="11">
    <pivotField showAll="0"/>
    <pivotField numFmtId="14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showAll="0"/>
    <pivotField dataField="1" numFmtId="164" showAll="0"/>
    <pivotField showAll="0"/>
    <pivotField showAll="0">
      <items count="4">
        <item x="2"/>
        <item x="1"/>
        <item x="0"/>
        <item t="default"/>
      </items>
    </pivotField>
    <pivotField showAll="0"/>
    <pivotField axis="axisRow" showAll="0" sortType="descending">
      <items count="6">
        <item x="2"/>
        <item x="1"/>
        <item x="4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3"/>
        <item x="2"/>
        <item x="0"/>
        <item x="1"/>
        <item x="4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6">
    <i>
      <x/>
    </i>
    <i>
      <x v="3"/>
    </i>
    <i>
      <x v="1"/>
    </i>
    <i>
      <x v="4"/>
    </i>
    <i>
      <x v="2"/>
    </i>
    <i t="grand">
      <x/>
    </i>
  </rowItems>
  <colItems count="1">
    <i/>
  </colItems>
  <dataFields count="1">
    <dataField name="Soma de  Price " fld="3" baseField="0" baseItem="0" numFmtId="164"/>
  </dataFields>
  <formats count="2">
    <format dxfId="15">
      <pivotArea outline="0" collapsedLevelsAreSubtotals="1" fieldPosition="0"/>
    </format>
    <format dxfId="1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urchase_Type" xr10:uid="{E5FD8CDE-D416-4DCF-B9FA-F0A08E37CDAF}" sourceName="Purchase Type">
  <pivotTables>
    <pivotTable tabId="2" name="Tabela dinâmica3"/>
    <pivotTable tabId="2" name="Tabela dinâmica4"/>
    <pivotTable tabId="2" name="Tabela dinâmica5"/>
    <pivotTable tabId="2" name="Tabela dinâmica6"/>
    <pivotTable tabId="2" name="Tabela dinâmica7"/>
  </pivotTables>
  <data>
    <tabular pivotCacheId="2002915914">
      <items count="3">
        <i x="2" s="1"/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ity" xr10:uid="{530B12E6-826F-446B-8F06-A7AB0FFE5B5D}" sourceName="City">
  <pivotTables>
    <pivotTable tabId="2" name="Tabela dinâmica4"/>
    <pivotTable tabId="2" name="Tabela dinâmica3"/>
    <pivotTable tabId="2" name="Tabela dinâmica5"/>
    <pivotTable tabId="2" name="Tabela dinâmica6"/>
    <pivotTable tabId="2" name="Tabela dinâmica7"/>
  </pivotTables>
  <data>
    <tabular pivotCacheId="2002915914">
      <items count="5">
        <i x="3" s="1"/>
        <i x="2" s="1"/>
        <i x="0" s="1"/>
        <i x="1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urchase Type" xr10:uid="{B3EFF328-F2A2-4753-BEF4-9ABBDE2B4D3C}" cache="SegmentaçãodeDados_Purchase_Type" caption="Purchase Type" rowHeight="257175"/>
  <slicer name="City" xr10:uid="{F195DC17-7FF9-41A6-ACB5-DAD0456C4963}" cache="SegmentaçãodeDados_City" caption="City" columnCount="5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urchase Type 2" xr10:uid="{E4122805-21B4-439A-A4DF-95A327662060}" cache="SegmentaçãodeDados_Purchase_Type" caption="Purchase Type" showCaption="0" style="Base 2" rowHeight="257175"/>
  <slicer name="City 1" xr10:uid="{2F7D6071-17C7-4183-B411-B314201CAE06}" cache="SegmentaçãodeDados_City" caption="City" columnCount="5" style="Base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D4A546-5FF0-449A-9B3A-B515B9902002}" name="Tabela1" displayName="Tabela1" ref="A1:I255" totalsRowShown="0" headerRowDxfId="26" dataDxfId="25">
  <autoFilter ref="A1:I255" xr:uid="{A3D4A546-5FF0-449A-9B3A-B515B9902002}"/>
  <tableColumns count="9">
    <tableColumn id="1" xr3:uid="{37D3A9D8-9EAA-4469-A0B8-C86938FEB49A}" name="Order ID" dataDxfId="24"/>
    <tableColumn id="2" xr3:uid="{D621C13B-980B-4854-A6AF-F24E1C7311ED}" name="Date" dataDxfId="23"/>
    <tableColumn id="3" xr3:uid="{A0FEBC28-B351-49A4-BC40-7292D25C634C}" name="Product" dataDxfId="22"/>
    <tableColumn id="4" xr3:uid="{70269BEE-433A-4432-9F31-EBAB0E78B747}" name=" Price " dataDxfId="21"/>
    <tableColumn id="5" xr3:uid="{C84D60C8-B2D3-42D9-9414-C4488E3D4D8C}" name="Quantity" dataDxfId="20"/>
    <tableColumn id="6" xr3:uid="{01DCAF69-D6CD-4F07-B62C-85DD6871E0D5}" name="Purchase Type" dataDxfId="19"/>
    <tableColumn id="7" xr3:uid="{84423DDD-9C6E-4636-B683-3F432B4B6079}" name="Payment Method" dataDxfId="18"/>
    <tableColumn id="8" xr3:uid="{4798B80E-59A3-44DC-9827-68B99BDF6DE0}" name="Manager" dataDxfId="17"/>
    <tableColumn id="9" xr3:uid="{583CBA64-3BE6-4BE4-A292-5D1B02629B15}" name="City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09C29B-BCFB-4D1C-BC9D-2058F3D939F4}" name="Tabela3" displayName="Tabela3" ref="L1:L1048576" totalsRowShown="0" headerRowDxfId="5" dataDxfId="4">
  <autoFilter ref="L1:L1048576" xr:uid="{8C09C29B-BCFB-4D1C-BC9D-2058F3D939F4}"/>
  <tableColumns count="1">
    <tableColumn id="1" xr3:uid="{9F048122-0F2D-4A7D-BCBD-E7F67E3FD47A}" name=" Price " dataDxfId="3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5CAAAE-1B37-4D3A-BD7F-335D57E9127B}" name="Tabela2" displayName="Tabela2" ref="H29:I34" totalsRowShown="0" headerRowDxfId="2">
  <autoFilter ref="H29:I34" xr:uid="{265CAAAE-1B37-4D3A-BD7F-335D57E9127B}"/>
  <tableColumns count="2">
    <tableColumn id="1" xr3:uid="{4F79A8B1-997B-4F88-931D-ED73E463B0EF}" name="Preços"/>
    <tableColumn id="2" xr3:uid="{4A4C1197-6526-4DF1-A02C-9052ABCE33C4}" name="Coluna1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microsoft.com/office/2007/relationships/slicer" Target="../slicers/slicer1.xml"/><Relationship Id="rId4" Type="http://schemas.openxmlformats.org/officeDocument/2006/relationships/pivotTable" Target="../pivotTables/pivotTable4.xml"/><Relationship Id="rId9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96621-6080-4AA6-AE8C-8F84766178D2}">
  <dimension ref="A1:O272"/>
  <sheetViews>
    <sheetView topLeftCell="A19" workbookViewId="0">
      <selection activeCell="L89" sqref="L89"/>
    </sheetView>
  </sheetViews>
  <sheetFormatPr defaultRowHeight="15" x14ac:dyDescent="0.25"/>
  <cols>
    <col min="1" max="1" width="13.140625" bestFit="1" customWidth="1"/>
    <col min="2" max="2" width="10.42578125" bestFit="1" customWidth="1"/>
    <col min="3" max="3" width="19.28515625" bestFit="1" customWidth="1"/>
    <col min="4" max="4" width="16" style="4" bestFit="1" customWidth="1"/>
    <col min="5" max="5" width="13.28515625" style="3" bestFit="1" customWidth="1"/>
    <col min="6" max="6" width="18.7109375" bestFit="1" customWidth="1"/>
    <col min="7" max="7" width="20.85546875" bestFit="1" customWidth="1"/>
    <col min="8" max="8" width="13.140625" bestFit="1" customWidth="1"/>
    <col min="9" max="9" width="9.28515625" bestFit="1" customWidth="1"/>
    <col min="11" max="11" width="17.42578125" bestFit="1" customWidth="1"/>
    <col min="12" max="12" width="16" bestFit="1" customWidth="1"/>
    <col min="15" max="15" width="10.28515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5" t="s">
        <v>3</v>
      </c>
      <c r="E1" s="18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5" x14ac:dyDescent="0.25">
      <c r="A2" s="1">
        <v>10452</v>
      </c>
      <c r="B2" s="2">
        <v>44872</v>
      </c>
      <c r="C2" s="1" t="s">
        <v>9</v>
      </c>
      <c r="D2" s="5">
        <v>3.49</v>
      </c>
      <c r="E2" s="18">
        <v>573.07000000000005</v>
      </c>
      <c r="F2" s="1" t="s">
        <v>10</v>
      </c>
      <c r="G2" s="1" t="s">
        <v>11</v>
      </c>
      <c r="H2" s="1" t="s">
        <v>12</v>
      </c>
      <c r="I2" s="1" t="s">
        <v>13</v>
      </c>
    </row>
    <row r="3" spans="1:15" x14ac:dyDescent="0.25">
      <c r="A3" s="1">
        <v>10453</v>
      </c>
      <c r="B3" s="2">
        <v>44872</v>
      </c>
      <c r="C3" s="1" t="s">
        <v>14</v>
      </c>
      <c r="D3" s="5">
        <v>2.95</v>
      </c>
      <c r="E3" s="18">
        <v>745.76</v>
      </c>
      <c r="F3" s="1" t="s">
        <v>10</v>
      </c>
      <c r="G3" s="1" t="s">
        <v>11</v>
      </c>
      <c r="H3" s="1" t="s">
        <v>15</v>
      </c>
      <c r="I3" s="1" t="s">
        <v>16</v>
      </c>
      <c r="L3" s="4"/>
      <c r="O3" s="4"/>
    </row>
    <row r="4" spans="1:15" x14ac:dyDescent="0.25">
      <c r="A4" s="1">
        <v>10454</v>
      </c>
      <c r="B4" s="2">
        <v>44872</v>
      </c>
      <c r="C4" s="1" t="s">
        <v>17</v>
      </c>
      <c r="D4" s="5">
        <v>4.99</v>
      </c>
      <c r="E4" s="18">
        <v>200.4</v>
      </c>
      <c r="F4" s="1" t="s">
        <v>18</v>
      </c>
      <c r="G4" s="1" t="s">
        <v>11</v>
      </c>
      <c r="H4" s="1" t="s">
        <v>19</v>
      </c>
      <c r="I4" s="1" t="s">
        <v>20</v>
      </c>
      <c r="L4" s="3"/>
      <c r="O4" s="3"/>
    </row>
    <row r="5" spans="1:15" x14ac:dyDescent="0.25">
      <c r="A5" s="1">
        <v>10455</v>
      </c>
      <c r="B5" s="2">
        <v>44873</v>
      </c>
      <c r="C5" s="1" t="s">
        <v>21</v>
      </c>
      <c r="D5" s="5">
        <v>12.99</v>
      </c>
      <c r="E5" s="18">
        <v>569.66999999999996</v>
      </c>
      <c r="F5" s="1" t="s">
        <v>18</v>
      </c>
      <c r="G5" s="1" t="s">
        <v>22</v>
      </c>
      <c r="H5" s="1" t="s">
        <v>23</v>
      </c>
      <c r="I5" s="1" t="s">
        <v>24</v>
      </c>
      <c r="L5" s="4"/>
    </row>
    <row r="6" spans="1:15" x14ac:dyDescent="0.25">
      <c r="A6" s="1">
        <v>10456</v>
      </c>
      <c r="B6" s="2">
        <v>44873</v>
      </c>
      <c r="C6" s="1" t="s">
        <v>25</v>
      </c>
      <c r="D6" s="5">
        <v>9.9499999999999993</v>
      </c>
      <c r="E6" s="18">
        <v>201.01</v>
      </c>
      <c r="F6" s="1" t="s">
        <v>18</v>
      </c>
      <c r="G6" s="1" t="s">
        <v>22</v>
      </c>
      <c r="H6" s="1" t="s">
        <v>23</v>
      </c>
      <c r="I6" s="1" t="s">
        <v>24</v>
      </c>
      <c r="L6" s="4"/>
    </row>
    <row r="7" spans="1:15" x14ac:dyDescent="0.25">
      <c r="A7" s="1">
        <v>10457</v>
      </c>
      <c r="B7" s="2">
        <v>44873</v>
      </c>
      <c r="C7" s="1" t="s">
        <v>9</v>
      </c>
      <c r="D7" s="5">
        <v>3.49</v>
      </c>
      <c r="E7" s="18">
        <v>573.07000000000005</v>
      </c>
      <c r="F7" s="1" t="s">
        <v>18</v>
      </c>
      <c r="G7" s="1" t="s">
        <v>22</v>
      </c>
      <c r="H7" s="1" t="s">
        <v>26</v>
      </c>
      <c r="I7" s="1" t="s">
        <v>27</v>
      </c>
    </row>
    <row r="8" spans="1:15" x14ac:dyDescent="0.25">
      <c r="A8" s="1">
        <v>10459</v>
      </c>
      <c r="B8" s="2">
        <v>44873</v>
      </c>
      <c r="C8" s="1" t="s">
        <v>17</v>
      </c>
      <c r="D8" s="5">
        <v>4.99</v>
      </c>
      <c r="E8" s="18">
        <v>200.4</v>
      </c>
      <c r="F8" s="1" t="s">
        <v>18</v>
      </c>
      <c r="G8" s="1" t="s">
        <v>22</v>
      </c>
      <c r="H8" s="1" t="s">
        <v>23</v>
      </c>
      <c r="I8" s="1" t="s">
        <v>24</v>
      </c>
    </row>
    <row r="9" spans="1:15" x14ac:dyDescent="0.25">
      <c r="A9" s="1">
        <v>10460</v>
      </c>
      <c r="B9" s="2">
        <v>44874</v>
      </c>
      <c r="C9" s="1" t="s">
        <v>21</v>
      </c>
      <c r="D9" s="5">
        <v>12.99</v>
      </c>
      <c r="E9" s="18">
        <v>554.27</v>
      </c>
      <c r="F9" s="1" t="s">
        <v>18</v>
      </c>
      <c r="G9" s="1" t="s">
        <v>22</v>
      </c>
      <c r="H9" s="1" t="s">
        <v>26</v>
      </c>
      <c r="I9" s="1" t="s">
        <v>27</v>
      </c>
      <c r="L9" s="4"/>
    </row>
    <row r="10" spans="1:15" x14ac:dyDescent="0.25">
      <c r="A10" s="1">
        <v>10461</v>
      </c>
      <c r="B10" s="2">
        <v>44874</v>
      </c>
      <c r="C10" s="1" t="s">
        <v>25</v>
      </c>
      <c r="D10" s="5">
        <v>9.9499999999999993</v>
      </c>
      <c r="E10" s="18">
        <v>201.01</v>
      </c>
      <c r="F10" s="1" t="s">
        <v>18</v>
      </c>
      <c r="G10" s="1" t="s">
        <v>22</v>
      </c>
      <c r="H10" s="1" t="s">
        <v>26</v>
      </c>
      <c r="I10" s="1" t="s">
        <v>27</v>
      </c>
    </row>
    <row r="11" spans="1:15" x14ac:dyDescent="0.25">
      <c r="A11" s="1">
        <v>10462</v>
      </c>
      <c r="B11" s="2">
        <v>44874</v>
      </c>
      <c r="C11" s="1" t="s">
        <v>9</v>
      </c>
      <c r="D11" s="5">
        <v>3.49</v>
      </c>
      <c r="E11" s="18">
        <v>573.07000000000005</v>
      </c>
      <c r="F11" s="1" t="s">
        <v>18</v>
      </c>
      <c r="G11" s="1" t="s">
        <v>22</v>
      </c>
      <c r="H11" s="1" t="s">
        <v>26</v>
      </c>
      <c r="I11" s="1" t="s">
        <v>27</v>
      </c>
    </row>
    <row r="12" spans="1:15" x14ac:dyDescent="0.25">
      <c r="A12" s="1">
        <v>10463</v>
      </c>
      <c r="B12" s="2">
        <v>44874</v>
      </c>
      <c r="C12" s="1" t="s">
        <v>14</v>
      </c>
      <c r="D12" s="5">
        <v>2.95</v>
      </c>
      <c r="E12" s="18">
        <v>677.97</v>
      </c>
      <c r="F12" s="1" t="s">
        <v>18</v>
      </c>
      <c r="G12" s="1" t="s">
        <v>22</v>
      </c>
      <c r="H12" s="1" t="s">
        <v>26</v>
      </c>
      <c r="I12" s="1" t="s">
        <v>27</v>
      </c>
    </row>
    <row r="13" spans="1:15" x14ac:dyDescent="0.25">
      <c r="A13" s="1">
        <v>10464</v>
      </c>
      <c r="B13" s="2">
        <v>44874</v>
      </c>
      <c r="C13" s="1" t="s">
        <v>17</v>
      </c>
      <c r="D13" s="5">
        <v>4.99</v>
      </c>
      <c r="E13" s="18">
        <v>200.4</v>
      </c>
      <c r="F13" s="1" t="s">
        <v>18</v>
      </c>
      <c r="G13" s="1" t="s">
        <v>22</v>
      </c>
      <c r="H13" s="1" t="s">
        <v>26</v>
      </c>
      <c r="I13" s="1" t="s">
        <v>27</v>
      </c>
    </row>
    <row r="14" spans="1:15" x14ac:dyDescent="0.25">
      <c r="A14" s="1">
        <v>10465</v>
      </c>
      <c r="B14" s="2">
        <v>44875</v>
      </c>
      <c r="C14" s="1" t="s">
        <v>21</v>
      </c>
      <c r="D14" s="5">
        <v>12.99</v>
      </c>
      <c r="E14" s="18">
        <v>554.27</v>
      </c>
      <c r="F14" s="1" t="s">
        <v>18</v>
      </c>
      <c r="G14" s="1" t="s">
        <v>22</v>
      </c>
      <c r="H14" s="1" t="s">
        <v>15</v>
      </c>
      <c r="I14" s="1" t="s">
        <v>16</v>
      </c>
    </row>
    <row r="15" spans="1:15" x14ac:dyDescent="0.25">
      <c r="A15" s="1">
        <v>10466</v>
      </c>
      <c r="B15" s="2">
        <v>44875</v>
      </c>
      <c r="C15" s="1" t="s">
        <v>25</v>
      </c>
      <c r="D15" s="5">
        <v>9.9499999999999993</v>
      </c>
      <c r="E15" s="18">
        <v>201.01</v>
      </c>
      <c r="F15" s="1" t="s">
        <v>18</v>
      </c>
      <c r="G15" s="1" t="s">
        <v>22</v>
      </c>
      <c r="H15" s="1" t="s">
        <v>15</v>
      </c>
      <c r="I15" s="1" t="s">
        <v>16</v>
      </c>
    </row>
    <row r="16" spans="1:15" x14ac:dyDescent="0.25">
      <c r="A16" s="1">
        <v>10467</v>
      </c>
      <c r="B16" s="2">
        <v>44875</v>
      </c>
      <c r="C16" s="1" t="s">
        <v>9</v>
      </c>
      <c r="D16" s="5">
        <v>3.49</v>
      </c>
      <c r="E16" s="18">
        <v>573.07000000000005</v>
      </c>
      <c r="F16" s="1" t="s">
        <v>18</v>
      </c>
      <c r="G16" s="1" t="s">
        <v>22</v>
      </c>
      <c r="H16" s="1" t="s">
        <v>15</v>
      </c>
      <c r="I16" s="1" t="s">
        <v>16</v>
      </c>
    </row>
    <row r="17" spans="1:9" x14ac:dyDescent="0.25">
      <c r="A17" s="1">
        <v>10468</v>
      </c>
      <c r="B17" s="2">
        <v>44875</v>
      </c>
      <c r="C17" s="1" t="s">
        <v>14</v>
      </c>
      <c r="D17" s="5">
        <v>2.95</v>
      </c>
      <c r="E17" s="18">
        <v>677.97</v>
      </c>
      <c r="F17" s="1" t="s">
        <v>18</v>
      </c>
      <c r="G17" s="1" t="s">
        <v>22</v>
      </c>
      <c r="H17" s="1" t="s">
        <v>15</v>
      </c>
      <c r="I17" s="1" t="s">
        <v>16</v>
      </c>
    </row>
    <row r="18" spans="1:9" x14ac:dyDescent="0.25">
      <c r="A18" s="1">
        <v>10470</v>
      </c>
      <c r="B18" s="2">
        <v>44876</v>
      </c>
      <c r="C18" s="1" t="s">
        <v>21</v>
      </c>
      <c r="D18" s="5">
        <v>12.99</v>
      </c>
      <c r="E18" s="18">
        <v>554.27</v>
      </c>
      <c r="F18" s="1" t="s">
        <v>18</v>
      </c>
      <c r="G18" s="1" t="s">
        <v>22</v>
      </c>
      <c r="H18" s="1" t="s">
        <v>15</v>
      </c>
      <c r="I18" s="1" t="s">
        <v>16</v>
      </c>
    </row>
    <row r="19" spans="1:9" x14ac:dyDescent="0.25">
      <c r="A19" s="1">
        <v>10471</v>
      </c>
      <c r="B19" s="2">
        <v>44876</v>
      </c>
      <c r="C19" s="1" t="s">
        <v>25</v>
      </c>
      <c r="D19" s="5">
        <v>9.9499999999999993</v>
      </c>
      <c r="E19" s="18">
        <v>201.01</v>
      </c>
      <c r="F19" s="1" t="s">
        <v>18</v>
      </c>
      <c r="G19" s="1" t="s">
        <v>22</v>
      </c>
      <c r="H19" s="1" t="s">
        <v>15</v>
      </c>
      <c r="I19" s="1" t="s">
        <v>16</v>
      </c>
    </row>
    <row r="20" spans="1:9" x14ac:dyDescent="0.25">
      <c r="A20" s="1">
        <v>10472</v>
      </c>
      <c r="B20" s="2">
        <v>44876</v>
      </c>
      <c r="C20" s="1" t="s">
        <v>9</v>
      </c>
      <c r="D20" s="5">
        <v>3.49</v>
      </c>
      <c r="E20" s="18">
        <v>630.37</v>
      </c>
      <c r="F20" s="1" t="s">
        <v>18</v>
      </c>
      <c r="G20" s="1" t="s">
        <v>22</v>
      </c>
      <c r="H20" s="1" t="s">
        <v>15</v>
      </c>
      <c r="I20" s="1" t="s">
        <v>16</v>
      </c>
    </row>
    <row r="21" spans="1:9" x14ac:dyDescent="0.25">
      <c r="A21" s="1">
        <v>10473</v>
      </c>
      <c r="B21" s="2">
        <v>44876</v>
      </c>
      <c r="C21" s="1" t="s">
        <v>14</v>
      </c>
      <c r="D21" s="5">
        <v>2.95</v>
      </c>
      <c r="E21" s="18">
        <v>677.97</v>
      </c>
      <c r="F21" s="1" t="s">
        <v>18</v>
      </c>
      <c r="G21" s="1" t="s">
        <v>22</v>
      </c>
      <c r="H21" s="1" t="s">
        <v>15</v>
      </c>
      <c r="I21" s="1" t="s">
        <v>16</v>
      </c>
    </row>
    <row r="22" spans="1:9" x14ac:dyDescent="0.25">
      <c r="A22" s="1">
        <v>10474</v>
      </c>
      <c r="B22" s="2">
        <v>44876</v>
      </c>
      <c r="C22" s="1" t="s">
        <v>17</v>
      </c>
      <c r="D22" s="5">
        <v>4.99</v>
      </c>
      <c r="E22" s="18">
        <v>200.4</v>
      </c>
      <c r="F22" s="1" t="s">
        <v>18</v>
      </c>
      <c r="G22" s="1" t="s">
        <v>22</v>
      </c>
      <c r="H22" s="1" t="s">
        <v>15</v>
      </c>
      <c r="I22" s="1" t="s">
        <v>16</v>
      </c>
    </row>
    <row r="23" spans="1:9" x14ac:dyDescent="0.25">
      <c r="A23" s="1">
        <v>10475</v>
      </c>
      <c r="B23" s="2">
        <v>44877</v>
      </c>
      <c r="C23" s="1" t="s">
        <v>21</v>
      </c>
      <c r="D23" s="5">
        <v>12.99</v>
      </c>
      <c r="E23" s="18">
        <v>523.48</v>
      </c>
      <c r="F23" s="1" t="s">
        <v>18</v>
      </c>
      <c r="G23" s="1" t="s">
        <v>22</v>
      </c>
      <c r="H23" s="1" t="s">
        <v>15</v>
      </c>
      <c r="I23" s="1" t="s">
        <v>16</v>
      </c>
    </row>
    <row r="24" spans="1:9" x14ac:dyDescent="0.25">
      <c r="A24" s="1">
        <v>10476</v>
      </c>
      <c r="B24" s="2">
        <v>44877</v>
      </c>
      <c r="C24" s="1" t="s">
        <v>25</v>
      </c>
      <c r="D24" s="5">
        <v>9.9499999999999993</v>
      </c>
      <c r="E24" s="18">
        <v>201.01</v>
      </c>
      <c r="F24" s="1" t="s">
        <v>18</v>
      </c>
      <c r="G24" s="1" t="s">
        <v>22</v>
      </c>
      <c r="H24" s="1" t="s">
        <v>15</v>
      </c>
      <c r="I24" s="1" t="s">
        <v>16</v>
      </c>
    </row>
    <row r="25" spans="1:9" x14ac:dyDescent="0.25">
      <c r="A25" s="1">
        <v>10477</v>
      </c>
      <c r="B25" s="2">
        <v>44877</v>
      </c>
      <c r="C25" s="1" t="s">
        <v>9</v>
      </c>
      <c r="D25" s="5">
        <v>3.49</v>
      </c>
      <c r="E25" s="18">
        <v>630.37</v>
      </c>
      <c r="F25" s="1" t="s">
        <v>18</v>
      </c>
      <c r="G25" s="1" t="s">
        <v>22</v>
      </c>
      <c r="H25" s="1" t="s">
        <v>15</v>
      </c>
      <c r="I25" s="1" t="s">
        <v>16</v>
      </c>
    </row>
    <row r="26" spans="1:9" x14ac:dyDescent="0.25">
      <c r="A26" s="1">
        <v>10478</v>
      </c>
      <c r="B26" s="2">
        <v>44877</v>
      </c>
      <c r="C26" s="1" t="s">
        <v>14</v>
      </c>
      <c r="D26" s="5">
        <v>2.95</v>
      </c>
      <c r="E26" s="18">
        <v>677.97</v>
      </c>
      <c r="F26" s="1" t="s">
        <v>18</v>
      </c>
      <c r="G26" s="1" t="s">
        <v>22</v>
      </c>
      <c r="H26" s="1" t="s">
        <v>15</v>
      </c>
      <c r="I26" s="1" t="s">
        <v>16</v>
      </c>
    </row>
    <row r="27" spans="1:9" x14ac:dyDescent="0.25">
      <c r="A27" s="1">
        <v>10479</v>
      </c>
      <c r="B27" s="2">
        <v>44877</v>
      </c>
      <c r="C27" s="1" t="s">
        <v>17</v>
      </c>
      <c r="D27" s="5">
        <v>4.99</v>
      </c>
      <c r="E27" s="18">
        <v>200.4</v>
      </c>
      <c r="F27" s="1" t="s">
        <v>18</v>
      </c>
      <c r="G27" s="1" t="s">
        <v>22</v>
      </c>
      <c r="H27" s="1" t="s">
        <v>15</v>
      </c>
      <c r="I27" s="1" t="s">
        <v>16</v>
      </c>
    </row>
    <row r="28" spans="1:9" x14ac:dyDescent="0.25">
      <c r="A28" s="1">
        <v>10480</v>
      </c>
      <c r="B28" s="2">
        <v>44878</v>
      </c>
      <c r="C28" s="1" t="s">
        <v>21</v>
      </c>
      <c r="D28" s="5">
        <v>12.99</v>
      </c>
      <c r="E28" s="18">
        <v>508.08</v>
      </c>
      <c r="F28" s="1" t="s">
        <v>18</v>
      </c>
      <c r="G28" s="1" t="s">
        <v>22</v>
      </c>
      <c r="H28" s="1" t="s">
        <v>15</v>
      </c>
      <c r="I28" s="1" t="s">
        <v>16</v>
      </c>
    </row>
    <row r="29" spans="1:9" x14ac:dyDescent="0.25">
      <c r="A29" s="1">
        <v>10481</v>
      </c>
      <c r="B29" s="2">
        <v>44878</v>
      </c>
      <c r="C29" s="1" t="s">
        <v>25</v>
      </c>
      <c r="D29" s="5">
        <v>9.9499999999999993</v>
      </c>
      <c r="E29" s="18">
        <v>201.01</v>
      </c>
      <c r="F29" s="1" t="s">
        <v>18</v>
      </c>
      <c r="G29" s="1" t="s">
        <v>22</v>
      </c>
      <c r="H29" s="1" t="s">
        <v>15</v>
      </c>
      <c r="I29" s="1" t="s">
        <v>16</v>
      </c>
    </row>
    <row r="30" spans="1:9" x14ac:dyDescent="0.25">
      <c r="A30" s="1">
        <v>10482</v>
      </c>
      <c r="B30" s="2">
        <v>44878</v>
      </c>
      <c r="C30" s="1" t="s">
        <v>9</v>
      </c>
      <c r="D30" s="5">
        <v>25.5</v>
      </c>
      <c r="E30" s="18">
        <v>630.37</v>
      </c>
      <c r="F30" s="1" t="s">
        <v>18</v>
      </c>
      <c r="G30" s="1" t="s">
        <v>22</v>
      </c>
      <c r="H30" s="1" t="s">
        <v>19</v>
      </c>
      <c r="I30" s="1" t="s">
        <v>20</v>
      </c>
    </row>
    <row r="31" spans="1:9" x14ac:dyDescent="0.25">
      <c r="A31" s="1">
        <v>10486</v>
      </c>
      <c r="B31" s="2">
        <v>44879</v>
      </c>
      <c r="C31" s="1" t="s">
        <v>25</v>
      </c>
      <c r="D31" s="5">
        <v>29.05</v>
      </c>
      <c r="E31" s="18">
        <v>201.01</v>
      </c>
      <c r="F31" s="1" t="s">
        <v>18</v>
      </c>
      <c r="G31" s="1" t="s">
        <v>22</v>
      </c>
      <c r="H31" s="1" t="s">
        <v>19</v>
      </c>
      <c r="I31" s="1" t="s">
        <v>20</v>
      </c>
    </row>
    <row r="32" spans="1:9" x14ac:dyDescent="0.25">
      <c r="A32" s="1">
        <v>10487</v>
      </c>
      <c r="B32" s="2">
        <v>44879</v>
      </c>
      <c r="C32" s="1" t="s">
        <v>9</v>
      </c>
      <c r="D32" s="5">
        <v>3.49</v>
      </c>
      <c r="E32" s="18">
        <v>630.37</v>
      </c>
      <c r="F32" s="1" t="s">
        <v>18</v>
      </c>
      <c r="G32" s="1" t="s">
        <v>22</v>
      </c>
      <c r="H32" s="1" t="s">
        <v>19</v>
      </c>
      <c r="I32" s="1" t="s">
        <v>20</v>
      </c>
    </row>
    <row r="33" spans="1:9" x14ac:dyDescent="0.25">
      <c r="A33" s="1">
        <v>10488</v>
      </c>
      <c r="B33" s="2">
        <v>44879</v>
      </c>
      <c r="C33" s="1" t="s">
        <v>14</v>
      </c>
      <c r="D33" s="5">
        <v>2.95</v>
      </c>
      <c r="E33" s="18">
        <v>677.97</v>
      </c>
      <c r="F33" s="1" t="s">
        <v>18</v>
      </c>
      <c r="G33" s="1" t="s">
        <v>22</v>
      </c>
      <c r="H33" s="1" t="s">
        <v>19</v>
      </c>
      <c r="I33" s="1" t="s">
        <v>20</v>
      </c>
    </row>
    <row r="34" spans="1:9" x14ac:dyDescent="0.25">
      <c r="A34" s="1">
        <v>10489</v>
      </c>
      <c r="B34" s="2">
        <v>44879</v>
      </c>
      <c r="C34" s="1" t="s">
        <v>17</v>
      </c>
      <c r="D34" s="5">
        <v>4.99</v>
      </c>
      <c r="E34" s="18">
        <v>200.4</v>
      </c>
      <c r="F34" s="1" t="s">
        <v>18</v>
      </c>
      <c r="G34" s="1" t="s">
        <v>22</v>
      </c>
      <c r="H34" s="1" t="s">
        <v>15</v>
      </c>
      <c r="I34" s="1" t="s">
        <v>16</v>
      </c>
    </row>
    <row r="35" spans="1:9" x14ac:dyDescent="0.25">
      <c r="A35" s="1">
        <v>10490</v>
      </c>
      <c r="B35" s="2">
        <v>44880</v>
      </c>
      <c r="C35" s="1" t="s">
        <v>21</v>
      </c>
      <c r="D35" s="5">
        <v>12.99</v>
      </c>
      <c r="E35" s="18">
        <v>508.08</v>
      </c>
      <c r="F35" s="1" t="s">
        <v>18</v>
      </c>
      <c r="G35" s="1" t="s">
        <v>22</v>
      </c>
      <c r="H35" s="1" t="s">
        <v>15</v>
      </c>
      <c r="I35" s="1" t="s">
        <v>16</v>
      </c>
    </row>
    <row r="36" spans="1:9" x14ac:dyDescent="0.25">
      <c r="A36" s="1">
        <v>10491</v>
      </c>
      <c r="B36" s="2">
        <v>44880</v>
      </c>
      <c r="C36" s="1" t="s">
        <v>25</v>
      </c>
      <c r="D36" s="5">
        <v>9.9499999999999993</v>
      </c>
      <c r="E36" s="18">
        <v>201.01</v>
      </c>
      <c r="F36" s="1" t="s">
        <v>18</v>
      </c>
      <c r="G36" s="1" t="s">
        <v>22</v>
      </c>
      <c r="H36" s="1" t="s">
        <v>15</v>
      </c>
      <c r="I36" s="1" t="s">
        <v>16</v>
      </c>
    </row>
    <row r="37" spans="1:9" x14ac:dyDescent="0.25">
      <c r="A37" s="1">
        <v>10492</v>
      </c>
      <c r="B37" s="2">
        <v>44880</v>
      </c>
      <c r="C37" s="1" t="s">
        <v>9</v>
      </c>
      <c r="D37" s="5">
        <v>3.49</v>
      </c>
      <c r="E37" s="18">
        <v>573.07000000000005</v>
      </c>
      <c r="F37" s="1" t="s">
        <v>18</v>
      </c>
      <c r="G37" s="1" t="s">
        <v>22</v>
      </c>
      <c r="H37" s="1" t="s">
        <v>15</v>
      </c>
      <c r="I37" s="1" t="s">
        <v>16</v>
      </c>
    </row>
    <row r="38" spans="1:9" x14ac:dyDescent="0.25">
      <c r="A38" s="1">
        <v>10493</v>
      </c>
      <c r="B38" s="2">
        <v>44880</v>
      </c>
      <c r="C38" s="1" t="s">
        <v>14</v>
      </c>
      <c r="D38" s="5">
        <v>2.95</v>
      </c>
      <c r="E38" s="18">
        <v>677.97</v>
      </c>
      <c r="F38" s="1" t="s">
        <v>18</v>
      </c>
      <c r="G38" s="1" t="s">
        <v>22</v>
      </c>
      <c r="H38" s="1" t="s">
        <v>15</v>
      </c>
      <c r="I38" s="1" t="s">
        <v>16</v>
      </c>
    </row>
    <row r="39" spans="1:9" x14ac:dyDescent="0.25">
      <c r="A39" s="1">
        <v>10494</v>
      </c>
      <c r="B39" s="2">
        <v>44880</v>
      </c>
      <c r="C39" s="1" t="s">
        <v>17</v>
      </c>
      <c r="D39" s="5">
        <v>4.99</v>
      </c>
      <c r="E39" s="18">
        <v>200.4</v>
      </c>
      <c r="F39" s="1" t="s">
        <v>18</v>
      </c>
      <c r="G39" s="1" t="s">
        <v>22</v>
      </c>
      <c r="H39" s="1" t="s">
        <v>15</v>
      </c>
      <c r="I39" s="1" t="s">
        <v>16</v>
      </c>
    </row>
    <row r="40" spans="1:9" x14ac:dyDescent="0.25">
      <c r="A40" s="1">
        <v>10495</v>
      </c>
      <c r="B40" s="2">
        <v>44881</v>
      </c>
      <c r="C40" s="1" t="s">
        <v>21</v>
      </c>
      <c r="D40" s="5">
        <v>12.99</v>
      </c>
      <c r="E40" s="18">
        <v>508.08</v>
      </c>
      <c r="F40" s="1" t="s">
        <v>18</v>
      </c>
      <c r="G40" s="1" t="s">
        <v>22</v>
      </c>
      <c r="H40" s="1" t="s">
        <v>15</v>
      </c>
      <c r="I40" s="1" t="s">
        <v>16</v>
      </c>
    </row>
    <row r="41" spans="1:9" x14ac:dyDescent="0.25">
      <c r="A41" s="1">
        <v>10496</v>
      </c>
      <c r="B41" s="2">
        <v>44881</v>
      </c>
      <c r="C41" s="1" t="s">
        <v>25</v>
      </c>
      <c r="D41" s="5">
        <v>9.9499999999999993</v>
      </c>
      <c r="E41" s="18">
        <v>201.01</v>
      </c>
      <c r="F41" s="1" t="s">
        <v>18</v>
      </c>
      <c r="G41" s="1" t="s">
        <v>22</v>
      </c>
      <c r="H41" s="1" t="s">
        <v>15</v>
      </c>
      <c r="I41" s="1" t="s">
        <v>16</v>
      </c>
    </row>
    <row r="42" spans="1:9" x14ac:dyDescent="0.25">
      <c r="A42" s="1">
        <v>10497</v>
      </c>
      <c r="B42" s="2">
        <v>44881</v>
      </c>
      <c r="C42" s="1" t="s">
        <v>9</v>
      </c>
      <c r="D42" s="5">
        <v>3.49</v>
      </c>
      <c r="E42" s="18">
        <v>573.07000000000005</v>
      </c>
      <c r="F42" s="1" t="s">
        <v>18</v>
      </c>
      <c r="G42" s="1" t="s">
        <v>22</v>
      </c>
      <c r="H42" s="1" t="s">
        <v>15</v>
      </c>
      <c r="I42" s="1" t="s">
        <v>16</v>
      </c>
    </row>
    <row r="43" spans="1:9" x14ac:dyDescent="0.25">
      <c r="A43" s="1">
        <v>10498</v>
      </c>
      <c r="B43" s="2">
        <v>44881</v>
      </c>
      <c r="C43" s="1" t="s">
        <v>14</v>
      </c>
      <c r="D43" s="5">
        <v>2.95</v>
      </c>
      <c r="E43" s="18">
        <v>677.97</v>
      </c>
      <c r="F43" s="1" t="s">
        <v>28</v>
      </c>
      <c r="G43" s="1" t="s">
        <v>22</v>
      </c>
      <c r="H43" s="1" t="s">
        <v>15</v>
      </c>
      <c r="I43" s="1" t="s">
        <v>16</v>
      </c>
    </row>
    <row r="44" spans="1:9" x14ac:dyDescent="0.25">
      <c r="A44" s="1">
        <v>10499</v>
      </c>
      <c r="B44" s="2">
        <v>44881</v>
      </c>
      <c r="C44" s="1" t="s">
        <v>17</v>
      </c>
      <c r="D44" s="5">
        <v>4.99</v>
      </c>
      <c r="E44" s="18">
        <v>200.4</v>
      </c>
      <c r="F44" s="1" t="s">
        <v>28</v>
      </c>
      <c r="G44" s="1" t="s">
        <v>22</v>
      </c>
      <c r="H44" s="1" t="s">
        <v>15</v>
      </c>
      <c r="I44" s="1" t="s">
        <v>16</v>
      </c>
    </row>
    <row r="45" spans="1:9" x14ac:dyDescent="0.25">
      <c r="A45" s="1">
        <v>10500</v>
      </c>
      <c r="B45" s="2">
        <v>44882</v>
      </c>
      <c r="C45" s="1" t="s">
        <v>21</v>
      </c>
      <c r="D45" s="5">
        <v>12.99</v>
      </c>
      <c r="E45" s="18">
        <v>523.48</v>
      </c>
      <c r="F45" s="1" t="s">
        <v>28</v>
      </c>
      <c r="G45" s="1" t="s">
        <v>22</v>
      </c>
      <c r="H45" s="1" t="s">
        <v>15</v>
      </c>
      <c r="I45" s="1" t="s">
        <v>16</v>
      </c>
    </row>
    <row r="46" spans="1:9" x14ac:dyDescent="0.25">
      <c r="A46" s="1">
        <v>10501</v>
      </c>
      <c r="B46" s="2">
        <v>44882</v>
      </c>
      <c r="C46" s="1" t="s">
        <v>25</v>
      </c>
      <c r="D46" s="5">
        <v>9.9499999999999993</v>
      </c>
      <c r="E46" s="18">
        <v>201.01</v>
      </c>
      <c r="F46" s="1" t="s">
        <v>28</v>
      </c>
      <c r="G46" s="1" t="s">
        <v>22</v>
      </c>
      <c r="H46" s="1" t="s">
        <v>15</v>
      </c>
      <c r="I46" s="1" t="s">
        <v>16</v>
      </c>
    </row>
    <row r="47" spans="1:9" x14ac:dyDescent="0.25">
      <c r="A47" s="1">
        <v>10502</v>
      </c>
      <c r="B47" s="2">
        <v>44882</v>
      </c>
      <c r="C47" s="1" t="s">
        <v>9</v>
      </c>
      <c r="D47" s="5">
        <v>3.49</v>
      </c>
      <c r="E47" s="18">
        <v>630.37</v>
      </c>
      <c r="F47" s="1" t="s">
        <v>28</v>
      </c>
      <c r="G47" s="1" t="s">
        <v>22</v>
      </c>
      <c r="H47" s="1" t="s">
        <v>15</v>
      </c>
      <c r="I47" s="1" t="s">
        <v>16</v>
      </c>
    </row>
    <row r="48" spans="1:9" x14ac:dyDescent="0.25">
      <c r="A48" s="1">
        <v>10503</v>
      </c>
      <c r="B48" s="2">
        <v>44882</v>
      </c>
      <c r="C48" s="1" t="s">
        <v>14</v>
      </c>
      <c r="D48" s="5">
        <v>2.95</v>
      </c>
      <c r="E48" s="18">
        <v>677.97</v>
      </c>
      <c r="F48" s="1" t="s">
        <v>28</v>
      </c>
      <c r="G48" s="1" t="s">
        <v>22</v>
      </c>
      <c r="H48" s="1" t="s">
        <v>15</v>
      </c>
      <c r="I48" s="1" t="s">
        <v>16</v>
      </c>
    </row>
    <row r="49" spans="1:9" x14ac:dyDescent="0.25">
      <c r="A49" s="1">
        <v>10504</v>
      </c>
      <c r="B49" s="2">
        <v>44882</v>
      </c>
      <c r="C49" s="1" t="s">
        <v>17</v>
      </c>
      <c r="D49" s="5">
        <v>4.99</v>
      </c>
      <c r="E49" s="18">
        <v>200.4</v>
      </c>
      <c r="F49" s="1" t="s">
        <v>28</v>
      </c>
      <c r="G49" s="1" t="s">
        <v>22</v>
      </c>
      <c r="H49" s="1" t="s">
        <v>15</v>
      </c>
      <c r="I49" s="1" t="s">
        <v>16</v>
      </c>
    </row>
    <row r="50" spans="1:9" x14ac:dyDescent="0.25">
      <c r="A50" s="1">
        <v>10505</v>
      </c>
      <c r="B50" s="2">
        <v>44883</v>
      </c>
      <c r="C50" s="1" t="s">
        <v>21</v>
      </c>
      <c r="D50" s="5">
        <v>12.99</v>
      </c>
      <c r="E50" s="18">
        <v>538.88</v>
      </c>
      <c r="F50" s="1" t="s">
        <v>28</v>
      </c>
      <c r="G50" s="1" t="s">
        <v>22</v>
      </c>
      <c r="H50" s="1" t="s">
        <v>15</v>
      </c>
      <c r="I50" s="1" t="s">
        <v>16</v>
      </c>
    </row>
    <row r="51" spans="1:9" x14ac:dyDescent="0.25">
      <c r="A51" s="1">
        <v>10506</v>
      </c>
      <c r="B51" s="2">
        <v>44883</v>
      </c>
      <c r="C51" s="1" t="s">
        <v>25</v>
      </c>
      <c r="D51" s="5">
        <v>9.9499999999999993</v>
      </c>
      <c r="E51" s="18">
        <v>201.01</v>
      </c>
      <c r="F51" s="1" t="s">
        <v>28</v>
      </c>
      <c r="G51" s="1" t="s">
        <v>22</v>
      </c>
      <c r="H51" s="1" t="s">
        <v>15</v>
      </c>
      <c r="I51" s="1" t="s">
        <v>16</v>
      </c>
    </row>
    <row r="52" spans="1:9" x14ac:dyDescent="0.25">
      <c r="A52" s="1">
        <v>10507</v>
      </c>
      <c r="B52" s="2">
        <v>44883</v>
      </c>
      <c r="C52" s="1" t="s">
        <v>9</v>
      </c>
      <c r="D52" s="5">
        <v>3.49</v>
      </c>
      <c r="E52" s="18">
        <v>687.68</v>
      </c>
      <c r="F52" s="1" t="s">
        <v>28</v>
      </c>
      <c r="G52" s="1" t="s">
        <v>22</v>
      </c>
      <c r="H52" s="1" t="s">
        <v>15</v>
      </c>
      <c r="I52" s="1" t="s">
        <v>16</v>
      </c>
    </row>
    <row r="53" spans="1:9" x14ac:dyDescent="0.25">
      <c r="A53" s="1">
        <v>10508</v>
      </c>
      <c r="B53" s="2">
        <v>44883</v>
      </c>
      <c r="C53" s="1" t="s">
        <v>14</v>
      </c>
      <c r="D53" s="5">
        <v>2.95</v>
      </c>
      <c r="E53" s="18">
        <v>677.97</v>
      </c>
      <c r="F53" s="1" t="s">
        <v>28</v>
      </c>
      <c r="G53" s="1" t="s">
        <v>22</v>
      </c>
      <c r="H53" s="1" t="s">
        <v>15</v>
      </c>
      <c r="I53" s="1" t="s">
        <v>16</v>
      </c>
    </row>
    <row r="54" spans="1:9" x14ac:dyDescent="0.25">
      <c r="A54" s="1">
        <v>10509</v>
      </c>
      <c r="B54" s="2">
        <v>44883</v>
      </c>
      <c r="C54" s="1" t="s">
        <v>17</v>
      </c>
      <c r="D54" s="5">
        <v>4.99</v>
      </c>
      <c r="E54" s="18">
        <v>200.4</v>
      </c>
      <c r="F54" s="1" t="s">
        <v>28</v>
      </c>
      <c r="G54" s="1" t="s">
        <v>22</v>
      </c>
      <c r="H54" s="1" t="s">
        <v>15</v>
      </c>
      <c r="I54" s="1" t="s">
        <v>16</v>
      </c>
    </row>
    <row r="55" spans="1:9" x14ac:dyDescent="0.25">
      <c r="A55" s="1">
        <v>10510</v>
      </c>
      <c r="B55" s="2">
        <v>44884</v>
      </c>
      <c r="C55" s="1" t="s">
        <v>21</v>
      </c>
      <c r="D55" s="5">
        <v>12.99</v>
      </c>
      <c r="E55" s="18">
        <v>508.08</v>
      </c>
      <c r="F55" s="1" t="s">
        <v>28</v>
      </c>
      <c r="G55" s="1" t="s">
        <v>22</v>
      </c>
      <c r="H55" s="1" t="s">
        <v>15</v>
      </c>
      <c r="I55" s="1" t="s">
        <v>16</v>
      </c>
    </row>
    <row r="56" spans="1:9" x14ac:dyDescent="0.25">
      <c r="A56" s="1">
        <v>10511</v>
      </c>
      <c r="B56" s="2">
        <v>44884</v>
      </c>
      <c r="C56" s="1" t="s">
        <v>25</v>
      </c>
      <c r="D56" s="5">
        <v>9.9499999999999993</v>
      </c>
      <c r="E56" s="18">
        <v>201.01</v>
      </c>
      <c r="F56" s="1" t="s">
        <v>28</v>
      </c>
      <c r="G56" s="1" t="s">
        <v>22</v>
      </c>
      <c r="H56" s="1" t="s">
        <v>19</v>
      </c>
      <c r="I56" s="1" t="s">
        <v>20</v>
      </c>
    </row>
    <row r="57" spans="1:9" x14ac:dyDescent="0.25">
      <c r="A57" s="1">
        <v>10512</v>
      </c>
      <c r="B57" s="2">
        <v>44884</v>
      </c>
      <c r="C57" s="1" t="s">
        <v>9</v>
      </c>
      <c r="D57" s="5">
        <v>3.49</v>
      </c>
      <c r="E57" s="18">
        <v>687.68</v>
      </c>
      <c r="F57" s="1" t="s">
        <v>28</v>
      </c>
      <c r="G57" s="1" t="s">
        <v>22</v>
      </c>
      <c r="H57" s="1" t="s">
        <v>19</v>
      </c>
      <c r="I57" s="1" t="s">
        <v>20</v>
      </c>
    </row>
    <row r="58" spans="1:9" x14ac:dyDescent="0.25">
      <c r="A58" s="1">
        <v>10513</v>
      </c>
      <c r="B58" s="2">
        <v>44884</v>
      </c>
      <c r="C58" s="1" t="s">
        <v>14</v>
      </c>
      <c r="D58" s="5">
        <v>2.95</v>
      </c>
      <c r="E58" s="18">
        <v>677.97</v>
      </c>
      <c r="F58" s="1" t="s">
        <v>28</v>
      </c>
      <c r="G58" s="1" t="s">
        <v>29</v>
      </c>
      <c r="H58" s="1" t="s">
        <v>19</v>
      </c>
      <c r="I58" s="1" t="s">
        <v>20</v>
      </c>
    </row>
    <row r="59" spans="1:9" x14ac:dyDescent="0.25">
      <c r="A59" s="1">
        <v>10514</v>
      </c>
      <c r="B59" s="2">
        <v>44884</v>
      </c>
      <c r="C59" s="1" t="s">
        <v>17</v>
      </c>
      <c r="D59" s="5">
        <v>4.99</v>
      </c>
      <c r="E59" s="18">
        <v>200.4</v>
      </c>
      <c r="F59" s="1" t="s">
        <v>28</v>
      </c>
      <c r="G59" s="1" t="s">
        <v>29</v>
      </c>
      <c r="H59" s="1" t="s">
        <v>19</v>
      </c>
      <c r="I59" s="1" t="s">
        <v>20</v>
      </c>
    </row>
    <row r="60" spans="1:9" x14ac:dyDescent="0.25">
      <c r="A60" s="1">
        <v>10515</v>
      </c>
      <c r="B60" s="2">
        <v>44885</v>
      </c>
      <c r="C60" s="1" t="s">
        <v>21</v>
      </c>
      <c r="D60" s="5">
        <v>12.99</v>
      </c>
      <c r="E60" s="18">
        <v>477.29</v>
      </c>
      <c r="F60" s="1" t="s">
        <v>28</v>
      </c>
      <c r="G60" s="1" t="s">
        <v>29</v>
      </c>
      <c r="H60" s="1" t="s">
        <v>19</v>
      </c>
      <c r="I60" s="1" t="s">
        <v>20</v>
      </c>
    </row>
    <row r="61" spans="1:9" x14ac:dyDescent="0.25">
      <c r="A61" s="1">
        <v>10516</v>
      </c>
      <c r="B61" s="2">
        <v>44885</v>
      </c>
      <c r="C61" s="1" t="s">
        <v>25</v>
      </c>
      <c r="D61" s="5">
        <v>9.9499999999999993</v>
      </c>
      <c r="E61" s="18">
        <v>201.01</v>
      </c>
      <c r="F61" s="1" t="s">
        <v>28</v>
      </c>
      <c r="G61" s="1" t="s">
        <v>29</v>
      </c>
      <c r="H61" s="1" t="s">
        <v>19</v>
      </c>
      <c r="I61" s="1" t="s">
        <v>20</v>
      </c>
    </row>
    <row r="62" spans="1:9" x14ac:dyDescent="0.25">
      <c r="A62" s="1">
        <v>10483</v>
      </c>
      <c r="B62" s="2">
        <v>44878</v>
      </c>
      <c r="C62" s="1" t="s">
        <v>14</v>
      </c>
      <c r="D62" s="5">
        <v>2.95</v>
      </c>
      <c r="E62" s="18">
        <v>677.97</v>
      </c>
      <c r="F62" s="1" t="s">
        <v>18</v>
      </c>
      <c r="G62" s="1" t="s">
        <v>22</v>
      </c>
      <c r="H62" s="1" t="s">
        <v>19</v>
      </c>
      <c r="I62" s="1" t="s">
        <v>20</v>
      </c>
    </row>
    <row r="63" spans="1:9" x14ac:dyDescent="0.25">
      <c r="A63" s="1">
        <v>10484</v>
      </c>
      <c r="B63" s="2">
        <v>44878</v>
      </c>
      <c r="C63" s="1" t="s">
        <v>17</v>
      </c>
      <c r="D63" s="5">
        <v>4.99</v>
      </c>
      <c r="E63" s="18">
        <v>200.4</v>
      </c>
      <c r="F63" s="1" t="s">
        <v>18</v>
      </c>
      <c r="G63" s="1" t="s">
        <v>22</v>
      </c>
      <c r="H63" s="1" t="s">
        <v>19</v>
      </c>
      <c r="I63" s="1" t="s">
        <v>20</v>
      </c>
    </row>
    <row r="64" spans="1:9" x14ac:dyDescent="0.25">
      <c r="A64" s="1">
        <v>10485</v>
      </c>
      <c r="B64" s="2">
        <v>44879</v>
      </c>
      <c r="C64" s="1" t="s">
        <v>21</v>
      </c>
      <c r="D64" s="5">
        <v>12.99</v>
      </c>
      <c r="E64" s="18">
        <v>523.48</v>
      </c>
      <c r="F64" s="1" t="s">
        <v>18</v>
      </c>
      <c r="G64" s="1" t="s">
        <v>22</v>
      </c>
      <c r="H64" s="1" t="s">
        <v>19</v>
      </c>
      <c r="I64" s="1" t="s">
        <v>20</v>
      </c>
    </row>
    <row r="65" spans="1:9" x14ac:dyDescent="0.25">
      <c r="A65" s="1">
        <v>10520</v>
      </c>
      <c r="B65" s="2">
        <v>44886</v>
      </c>
      <c r="C65" s="1" t="s">
        <v>21</v>
      </c>
      <c r="D65" s="5">
        <v>12.99</v>
      </c>
      <c r="E65" s="18">
        <v>492.69</v>
      </c>
      <c r="F65" s="1" t="s">
        <v>28</v>
      </c>
      <c r="G65" s="1" t="s">
        <v>29</v>
      </c>
      <c r="H65" s="1" t="s">
        <v>26</v>
      </c>
      <c r="I65" s="1" t="s">
        <v>27</v>
      </c>
    </row>
    <row r="66" spans="1:9" x14ac:dyDescent="0.25">
      <c r="A66" s="1">
        <v>10521</v>
      </c>
      <c r="B66" s="2">
        <v>44886</v>
      </c>
      <c r="C66" s="1" t="s">
        <v>25</v>
      </c>
      <c r="D66" s="5">
        <v>9.9499999999999993</v>
      </c>
      <c r="E66" s="18">
        <v>201.01</v>
      </c>
      <c r="F66" s="1" t="s">
        <v>28</v>
      </c>
      <c r="G66" s="1" t="s">
        <v>29</v>
      </c>
      <c r="H66" s="1" t="s">
        <v>26</v>
      </c>
      <c r="I66" s="1" t="s">
        <v>27</v>
      </c>
    </row>
    <row r="67" spans="1:9" x14ac:dyDescent="0.25">
      <c r="A67" s="1">
        <v>10522</v>
      </c>
      <c r="B67" s="2">
        <v>44886</v>
      </c>
      <c r="C67" s="1" t="s">
        <v>9</v>
      </c>
      <c r="D67" s="5">
        <v>3.49</v>
      </c>
      <c r="E67" s="18">
        <v>687.68</v>
      </c>
      <c r="F67" s="1" t="s">
        <v>28</v>
      </c>
      <c r="G67" s="1" t="s">
        <v>29</v>
      </c>
      <c r="H67" s="1" t="s">
        <v>26</v>
      </c>
      <c r="I67" s="1" t="s">
        <v>27</v>
      </c>
    </row>
    <row r="68" spans="1:9" x14ac:dyDescent="0.25">
      <c r="A68" s="1">
        <v>10523</v>
      </c>
      <c r="B68" s="2">
        <v>44886</v>
      </c>
      <c r="C68" s="1" t="s">
        <v>14</v>
      </c>
      <c r="D68" s="5">
        <v>2.95</v>
      </c>
      <c r="E68" s="18">
        <v>745.76</v>
      </c>
      <c r="F68" s="1" t="s">
        <v>28</v>
      </c>
      <c r="G68" s="1" t="s">
        <v>29</v>
      </c>
      <c r="H68" s="1" t="s">
        <v>26</v>
      </c>
      <c r="I68" s="1" t="s">
        <v>27</v>
      </c>
    </row>
    <row r="69" spans="1:9" x14ac:dyDescent="0.25">
      <c r="A69" s="1">
        <v>10524</v>
      </c>
      <c r="B69" s="2">
        <v>44886</v>
      </c>
      <c r="C69" s="1" t="s">
        <v>17</v>
      </c>
      <c r="D69" s="5">
        <v>4.99</v>
      </c>
      <c r="E69" s="18">
        <v>200.4</v>
      </c>
      <c r="F69" s="1" t="s">
        <v>28</v>
      </c>
      <c r="G69" s="1" t="s">
        <v>29</v>
      </c>
      <c r="H69" s="1" t="s">
        <v>26</v>
      </c>
      <c r="I69" s="1" t="s">
        <v>27</v>
      </c>
    </row>
    <row r="70" spans="1:9" x14ac:dyDescent="0.25">
      <c r="A70" s="1">
        <v>10525</v>
      </c>
      <c r="B70" s="2">
        <v>44887</v>
      </c>
      <c r="C70" s="1" t="s">
        <v>21</v>
      </c>
      <c r="D70" s="5">
        <v>12.99</v>
      </c>
      <c r="E70" s="18">
        <v>461.89</v>
      </c>
      <c r="F70" s="1" t="s">
        <v>28</v>
      </c>
      <c r="G70" s="1" t="s">
        <v>29</v>
      </c>
      <c r="H70" s="1" t="s">
        <v>26</v>
      </c>
      <c r="I70" s="1" t="s">
        <v>27</v>
      </c>
    </row>
    <row r="71" spans="1:9" x14ac:dyDescent="0.25">
      <c r="A71" s="1">
        <v>10526</v>
      </c>
      <c r="B71" s="2">
        <v>44887</v>
      </c>
      <c r="C71" s="1" t="s">
        <v>25</v>
      </c>
      <c r="D71" s="5">
        <v>9.9499999999999993</v>
      </c>
      <c r="E71" s="18">
        <v>201.01</v>
      </c>
      <c r="F71" s="1" t="s">
        <v>28</v>
      </c>
      <c r="G71" s="1" t="s">
        <v>29</v>
      </c>
      <c r="H71" s="1" t="s">
        <v>26</v>
      </c>
      <c r="I71" s="1" t="s">
        <v>27</v>
      </c>
    </row>
    <row r="72" spans="1:9" x14ac:dyDescent="0.25">
      <c r="A72" s="1">
        <v>10527</v>
      </c>
      <c r="B72" s="2">
        <v>44887</v>
      </c>
      <c r="C72" s="1" t="s">
        <v>9</v>
      </c>
      <c r="D72" s="5">
        <v>3.49</v>
      </c>
      <c r="E72" s="18">
        <v>687.68</v>
      </c>
      <c r="F72" s="1" t="s">
        <v>28</v>
      </c>
      <c r="G72" s="1" t="s">
        <v>29</v>
      </c>
      <c r="H72" s="1" t="s">
        <v>26</v>
      </c>
      <c r="I72" s="1" t="s">
        <v>27</v>
      </c>
    </row>
    <row r="73" spans="1:9" x14ac:dyDescent="0.25">
      <c r="A73" s="1">
        <v>10528</v>
      </c>
      <c r="B73" s="2">
        <v>44887</v>
      </c>
      <c r="C73" s="1" t="s">
        <v>14</v>
      </c>
      <c r="D73" s="5">
        <v>2.95</v>
      </c>
      <c r="E73" s="18">
        <v>745.76</v>
      </c>
      <c r="F73" s="1" t="s">
        <v>28</v>
      </c>
      <c r="G73" s="1" t="s">
        <v>29</v>
      </c>
      <c r="H73" s="1" t="s">
        <v>26</v>
      </c>
      <c r="I73" s="1" t="s">
        <v>27</v>
      </c>
    </row>
    <row r="74" spans="1:9" x14ac:dyDescent="0.25">
      <c r="A74" s="1">
        <v>10529</v>
      </c>
      <c r="B74" s="2">
        <v>44887</v>
      </c>
      <c r="C74" s="1" t="s">
        <v>17</v>
      </c>
      <c r="D74" s="5">
        <v>4.99</v>
      </c>
      <c r="E74" s="18">
        <v>200.4</v>
      </c>
      <c r="F74" s="1" t="s">
        <v>28</v>
      </c>
      <c r="G74" s="1" t="s">
        <v>29</v>
      </c>
      <c r="H74" s="1" t="s">
        <v>26</v>
      </c>
      <c r="I74" s="1" t="s">
        <v>27</v>
      </c>
    </row>
    <row r="75" spans="1:9" x14ac:dyDescent="0.25">
      <c r="A75" s="1">
        <v>10530</v>
      </c>
      <c r="B75" s="2">
        <v>44888</v>
      </c>
      <c r="C75" s="1" t="s">
        <v>21</v>
      </c>
      <c r="D75" s="5">
        <v>12.99</v>
      </c>
      <c r="E75" s="18">
        <v>477.29</v>
      </c>
      <c r="F75" s="1" t="s">
        <v>28</v>
      </c>
      <c r="G75" s="1" t="s">
        <v>29</v>
      </c>
      <c r="H75" s="1" t="s">
        <v>26</v>
      </c>
      <c r="I75" s="1" t="s">
        <v>27</v>
      </c>
    </row>
    <row r="76" spans="1:9" x14ac:dyDescent="0.25">
      <c r="A76" s="1">
        <v>10531</v>
      </c>
      <c r="B76" s="2">
        <v>44888</v>
      </c>
      <c r="C76" s="1" t="s">
        <v>25</v>
      </c>
      <c r="D76" s="5">
        <v>9.9499999999999993</v>
      </c>
      <c r="E76" s="18">
        <v>201.01</v>
      </c>
      <c r="F76" s="1" t="s">
        <v>28</v>
      </c>
      <c r="G76" s="1" t="s">
        <v>29</v>
      </c>
      <c r="H76" s="1" t="s">
        <v>26</v>
      </c>
      <c r="I76" s="1" t="s">
        <v>27</v>
      </c>
    </row>
    <row r="77" spans="1:9" x14ac:dyDescent="0.25">
      <c r="A77" s="1">
        <v>10532</v>
      </c>
      <c r="B77" s="2">
        <v>44888</v>
      </c>
      <c r="C77" s="1" t="s">
        <v>9</v>
      </c>
      <c r="D77" s="5">
        <v>3.49</v>
      </c>
      <c r="E77" s="18">
        <v>687.68</v>
      </c>
      <c r="F77" s="1" t="s">
        <v>28</v>
      </c>
      <c r="G77" s="1" t="s">
        <v>29</v>
      </c>
      <c r="H77" s="1" t="s">
        <v>19</v>
      </c>
      <c r="I77" s="1" t="s">
        <v>20</v>
      </c>
    </row>
    <row r="78" spans="1:9" x14ac:dyDescent="0.25">
      <c r="A78" s="1">
        <v>10533</v>
      </c>
      <c r="B78" s="2">
        <v>44888</v>
      </c>
      <c r="C78" s="1" t="s">
        <v>14</v>
      </c>
      <c r="D78" s="5">
        <v>2.95</v>
      </c>
      <c r="E78" s="18">
        <v>745.76</v>
      </c>
      <c r="F78" s="1" t="s">
        <v>28</v>
      </c>
      <c r="G78" s="1" t="s">
        <v>29</v>
      </c>
      <c r="H78" s="1" t="s">
        <v>19</v>
      </c>
      <c r="I78" s="1" t="s">
        <v>20</v>
      </c>
    </row>
    <row r="79" spans="1:9" x14ac:dyDescent="0.25">
      <c r="A79" s="1">
        <v>10534</v>
      </c>
      <c r="B79" s="2">
        <v>44888</v>
      </c>
      <c r="C79" s="1" t="s">
        <v>17</v>
      </c>
      <c r="D79" s="5">
        <v>4.99</v>
      </c>
      <c r="E79" s="18">
        <v>200.4</v>
      </c>
      <c r="F79" s="1" t="s">
        <v>28</v>
      </c>
      <c r="G79" s="1" t="s">
        <v>29</v>
      </c>
      <c r="H79" s="1" t="s">
        <v>15</v>
      </c>
      <c r="I79" s="1" t="s">
        <v>16</v>
      </c>
    </row>
    <row r="80" spans="1:9" x14ac:dyDescent="0.25">
      <c r="A80" s="1">
        <v>10535</v>
      </c>
      <c r="B80" s="2">
        <v>44889</v>
      </c>
      <c r="C80" s="1" t="s">
        <v>21</v>
      </c>
      <c r="D80" s="5">
        <v>12.99</v>
      </c>
      <c r="E80" s="18">
        <v>477.29</v>
      </c>
      <c r="F80" s="1" t="s">
        <v>28</v>
      </c>
      <c r="G80" s="1" t="s">
        <v>22</v>
      </c>
      <c r="H80" s="1" t="s">
        <v>15</v>
      </c>
      <c r="I80" s="1" t="s">
        <v>16</v>
      </c>
    </row>
    <row r="81" spans="1:9" x14ac:dyDescent="0.25">
      <c r="A81" s="1">
        <v>10536</v>
      </c>
      <c r="B81" s="2">
        <v>44889</v>
      </c>
      <c r="C81" s="1" t="s">
        <v>25</v>
      </c>
      <c r="D81" s="5">
        <v>9.9499999999999993</v>
      </c>
      <c r="E81" s="18">
        <v>201.01</v>
      </c>
      <c r="F81" s="1" t="s">
        <v>28</v>
      </c>
      <c r="G81" s="1" t="s">
        <v>22</v>
      </c>
      <c r="H81" s="1" t="s">
        <v>15</v>
      </c>
      <c r="I81" s="1" t="s">
        <v>16</v>
      </c>
    </row>
    <row r="82" spans="1:9" x14ac:dyDescent="0.25">
      <c r="A82" s="1">
        <v>10540</v>
      </c>
      <c r="B82" s="2">
        <v>44890</v>
      </c>
      <c r="C82" s="1" t="s">
        <v>21</v>
      </c>
      <c r="D82" s="5">
        <v>12.99</v>
      </c>
      <c r="E82" s="18">
        <v>461.89</v>
      </c>
      <c r="F82" s="1" t="s">
        <v>28</v>
      </c>
      <c r="G82" s="1" t="s">
        <v>22</v>
      </c>
      <c r="H82" s="1" t="s">
        <v>15</v>
      </c>
      <c r="I82" s="1" t="s">
        <v>16</v>
      </c>
    </row>
    <row r="83" spans="1:9" x14ac:dyDescent="0.25">
      <c r="A83" s="1">
        <v>10541</v>
      </c>
      <c r="B83" s="2">
        <v>44890</v>
      </c>
      <c r="C83" s="1" t="s">
        <v>25</v>
      </c>
      <c r="D83" s="5">
        <v>9.9499999999999993</v>
      </c>
      <c r="E83" s="18">
        <v>201.01</v>
      </c>
      <c r="F83" s="1" t="s">
        <v>28</v>
      </c>
      <c r="G83" s="1" t="s">
        <v>22</v>
      </c>
      <c r="H83" s="1" t="s">
        <v>12</v>
      </c>
      <c r="I83" s="1" t="s">
        <v>13</v>
      </c>
    </row>
    <row r="84" spans="1:9" x14ac:dyDescent="0.25">
      <c r="A84" s="1">
        <v>10542</v>
      </c>
      <c r="B84" s="2">
        <v>44890</v>
      </c>
      <c r="C84" s="1" t="s">
        <v>9</v>
      </c>
      <c r="D84" s="5">
        <v>3.49</v>
      </c>
      <c r="E84" s="18">
        <v>630.37</v>
      </c>
      <c r="F84" s="1" t="s">
        <v>28</v>
      </c>
      <c r="G84" s="1" t="s">
        <v>22</v>
      </c>
      <c r="H84" s="1" t="s">
        <v>12</v>
      </c>
      <c r="I84" s="1" t="s">
        <v>13</v>
      </c>
    </row>
    <row r="85" spans="1:9" x14ac:dyDescent="0.25">
      <c r="A85" s="1">
        <v>10543</v>
      </c>
      <c r="B85" s="2">
        <v>44890</v>
      </c>
      <c r="C85" s="1" t="s">
        <v>14</v>
      </c>
      <c r="D85" s="5">
        <v>2.95</v>
      </c>
      <c r="E85" s="18">
        <v>745.76</v>
      </c>
      <c r="F85" s="1" t="s">
        <v>28</v>
      </c>
      <c r="G85" s="1" t="s">
        <v>22</v>
      </c>
      <c r="H85" s="1" t="s">
        <v>12</v>
      </c>
      <c r="I85" s="1" t="s">
        <v>13</v>
      </c>
    </row>
    <row r="86" spans="1:9" x14ac:dyDescent="0.25">
      <c r="A86" s="1">
        <v>10544</v>
      </c>
      <c r="B86" s="2">
        <v>44890</v>
      </c>
      <c r="C86" s="1" t="s">
        <v>17</v>
      </c>
      <c r="D86" s="5">
        <v>4.99</v>
      </c>
      <c r="E86" s="18">
        <v>200.4</v>
      </c>
      <c r="F86" s="1" t="s">
        <v>28</v>
      </c>
      <c r="G86" s="1" t="s">
        <v>22</v>
      </c>
      <c r="H86" s="1" t="s">
        <v>12</v>
      </c>
      <c r="I86" s="1" t="s">
        <v>13</v>
      </c>
    </row>
    <row r="87" spans="1:9" x14ac:dyDescent="0.25">
      <c r="A87" s="1">
        <v>10545</v>
      </c>
      <c r="B87" s="2">
        <v>44891</v>
      </c>
      <c r="C87" s="1" t="s">
        <v>21</v>
      </c>
      <c r="D87" s="5">
        <v>12.99</v>
      </c>
      <c r="E87" s="18">
        <v>446.5</v>
      </c>
      <c r="F87" s="1" t="s">
        <v>28</v>
      </c>
      <c r="G87" s="1" t="s">
        <v>22</v>
      </c>
      <c r="H87" s="1" t="s">
        <v>12</v>
      </c>
      <c r="I87" s="1" t="s">
        <v>13</v>
      </c>
    </row>
    <row r="88" spans="1:9" x14ac:dyDescent="0.25">
      <c r="A88" s="1">
        <v>10546</v>
      </c>
      <c r="B88" s="2">
        <v>44891</v>
      </c>
      <c r="C88" s="1" t="s">
        <v>25</v>
      </c>
      <c r="D88" s="5">
        <v>9.9499999999999993</v>
      </c>
      <c r="E88" s="18">
        <v>201.01</v>
      </c>
      <c r="F88" s="1" t="s">
        <v>28</v>
      </c>
      <c r="G88" s="1" t="s">
        <v>22</v>
      </c>
      <c r="H88" s="1" t="s">
        <v>12</v>
      </c>
      <c r="I88" s="1" t="s">
        <v>13</v>
      </c>
    </row>
    <row r="89" spans="1:9" x14ac:dyDescent="0.25">
      <c r="A89" s="1">
        <v>10547</v>
      </c>
      <c r="B89" s="2">
        <v>44891</v>
      </c>
      <c r="C89" s="1" t="s">
        <v>9</v>
      </c>
      <c r="D89" s="5">
        <v>3.49</v>
      </c>
      <c r="E89" s="18">
        <v>630.37</v>
      </c>
      <c r="F89" s="1" t="s">
        <v>28</v>
      </c>
      <c r="G89" s="1" t="s">
        <v>22</v>
      </c>
      <c r="H89" s="1" t="s">
        <v>12</v>
      </c>
      <c r="I89" s="1" t="s">
        <v>13</v>
      </c>
    </row>
    <row r="90" spans="1:9" x14ac:dyDescent="0.25">
      <c r="A90" s="1">
        <v>10548</v>
      </c>
      <c r="B90" s="2">
        <v>44891</v>
      </c>
      <c r="C90" s="1" t="s">
        <v>14</v>
      </c>
      <c r="D90" s="5">
        <v>2.95</v>
      </c>
      <c r="E90" s="18">
        <v>745.76</v>
      </c>
      <c r="F90" s="1" t="s">
        <v>28</v>
      </c>
      <c r="G90" s="1" t="s">
        <v>22</v>
      </c>
      <c r="H90" s="1" t="s">
        <v>12</v>
      </c>
      <c r="I90" s="1" t="s">
        <v>13</v>
      </c>
    </row>
    <row r="91" spans="1:9" x14ac:dyDescent="0.25">
      <c r="A91" s="1">
        <v>10549</v>
      </c>
      <c r="B91" s="2">
        <v>44891</v>
      </c>
      <c r="C91" s="1" t="s">
        <v>17</v>
      </c>
      <c r="D91" s="5">
        <v>4.99</v>
      </c>
      <c r="E91" s="18">
        <v>200.4</v>
      </c>
      <c r="F91" s="1" t="s">
        <v>28</v>
      </c>
      <c r="G91" s="1" t="s">
        <v>22</v>
      </c>
      <c r="H91" s="1" t="s">
        <v>12</v>
      </c>
      <c r="I91" s="1" t="s">
        <v>13</v>
      </c>
    </row>
    <row r="92" spans="1:9" x14ac:dyDescent="0.25">
      <c r="A92" s="1">
        <v>10550</v>
      </c>
      <c r="B92" s="2">
        <v>44892</v>
      </c>
      <c r="C92" s="1" t="s">
        <v>21</v>
      </c>
      <c r="D92" s="5">
        <v>12.99</v>
      </c>
      <c r="E92" s="18">
        <v>461.89</v>
      </c>
      <c r="F92" s="1" t="s">
        <v>28</v>
      </c>
      <c r="G92" s="1" t="s">
        <v>22</v>
      </c>
      <c r="H92" s="1" t="s">
        <v>12</v>
      </c>
      <c r="I92" s="1" t="s">
        <v>13</v>
      </c>
    </row>
    <row r="93" spans="1:9" x14ac:dyDescent="0.25">
      <c r="A93" s="1">
        <v>10551</v>
      </c>
      <c r="B93" s="2">
        <v>44892</v>
      </c>
      <c r="C93" s="1" t="s">
        <v>25</v>
      </c>
      <c r="D93" s="5">
        <v>9.9499999999999993</v>
      </c>
      <c r="E93" s="18">
        <v>201.01</v>
      </c>
      <c r="F93" s="1" t="s">
        <v>28</v>
      </c>
      <c r="G93" s="1" t="s">
        <v>22</v>
      </c>
      <c r="H93" s="1" t="s">
        <v>12</v>
      </c>
      <c r="I93" s="1" t="s">
        <v>13</v>
      </c>
    </row>
    <row r="94" spans="1:9" x14ac:dyDescent="0.25">
      <c r="A94" s="1">
        <v>10552</v>
      </c>
      <c r="B94" s="2">
        <v>44892</v>
      </c>
      <c r="C94" s="1" t="s">
        <v>9</v>
      </c>
      <c r="D94" s="5">
        <v>3.49</v>
      </c>
      <c r="E94" s="18">
        <v>630.37</v>
      </c>
      <c r="F94" s="1" t="s">
        <v>10</v>
      </c>
      <c r="G94" s="1" t="s">
        <v>22</v>
      </c>
      <c r="H94" s="1" t="s">
        <v>12</v>
      </c>
      <c r="I94" s="1" t="s">
        <v>13</v>
      </c>
    </row>
    <row r="95" spans="1:9" x14ac:dyDescent="0.25">
      <c r="A95" s="1">
        <v>10553</v>
      </c>
      <c r="B95" s="2">
        <v>44892</v>
      </c>
      <c r="C95" s="1" t="s">
        <v>14</v>
      </c>
      <c r="D95" s="5">
        <v>2.95</v>
      </c>
      <c r="E95" s="18">
        <v>745.76</v>
      </c>
      <c r="F95" s="1" t="s">
        <v>10</v>
      </c>
      <c r="G95" s="1" t="s">
        <v>22</v>
      </c>
      <c r="H95" s="1" t="s">
        <v>12</v>
      </c>
      <c r="I95" s="1" t="s">
        <v>13</v>
      </c>
    </row>
    <row r="96" spans="1:9" x14ac:dyDescent="0.25">
      <c r="A96" s="1">
        <v>10554</v>
      </c>
      <c r="B96" s="2">
        <v>44892</v>
      </c>
      <c r="C96" s="1" t="s">
        <v>17</v>
      </c>
      <c r="D96" s="5">
        <v>4.99</v>
      </c>
      <c r="E96" s="18">
        <v>200.4</v>
      </c>
      <c r="F96" s="1" t="s">
        <v>10</v>
      </c>
      <c r="G96" s="1" t="s">
        <v>22</v>
      </c>
      <c r="H96" s="1" t="s">
        <v>12</v>
      </c>
      <c r="I96" s="1" t="s">
        <v>13</v>
      </c>
    </row>
    <row r="97" spans="1:9" x14ac:dyDescent="0.25">
      <c r="A97" s="1">
        <v>10555</v>
      </c>
      <c r="B97" s="2">
        <v>44893</v>
      </c>
      <c r="C97" s="1" t="s">
        <v>21</v>
      </c>
      <c r="D97" s="5">
        <v>12.99</v>
      </c>
      <c r="E97" s="18">
        <v>477.29</v>
      </c>
      <c r="F97" s="1" t="s">
        <v>10</v>
      </c>
      <c r="G97" s="1" t="s">
        <v>22</v>
      </c>
      <c r="H97" s="1" t="s">
        <v>12</v>
      </c>
      <c r="I97" s="1" t="s">
        <v>13</v>
      </c>
    </row>
    <row r="98" spans="1:9" x14ac:dyDescent="0.25">
      <c r="A98" s="1">
        <v>10556</v>
      </c>
      <c r="B98" s="2">
        <v>44893</v>
      </c>
      <c r="C98" s="1" t="s">
        <v>25</v>
      </c>
      <c r="D98" s="5">
        <v>9.9499999999999993</v>
      </c>
      <c r="E98" s="18">
        <v>201.01</v>
      </c>
      <c r="F98" s="1" t="s">
        <v>10</v>
      </c>
      <c r="G98" s="1" t="s">
        <v>22</v>
      </c>
      <c r="H98" s="1" t="s">
        <v>12</v>
      </c>
      <c r="I98" s="1" t="s">
        <v>13</v>
      </c>
    </row>
    <row r="99" spans="1:9" x14ac:dyDescent="0.25">
      <c r="A99" s="1">
        <v>10557</v>
      </c>
      <c r="B99" s="2">
        <v>44893</v>
      </c>
      <c r="C99" s="1" t="s">
        <v>9</v>
      </c>
      <c r="D99" s="5">
        <v>3.49</v>
      </c>
      <c r="E99" s="18">
        <v>630.37</v>
      </c>
      <c r="F99" s="1" t="s">
        <v>10</v>
      </c>
      <c r="G99" s="1" t="s">
        <v>22</v>
      </c>
      <c r="H99" s="1" t="s">
        <v>12</v>
      </c>
      <c r="I99" s="1" t="s">
        <v>13</v>
      </c>
    </row>
    <row r="100" spans="1:9" x14ac:dyDescent="0.25">
      <c r="A100" s="1">
        <v>10558</v>
      </c>
      <c r="B100" s="2">
        <v>44893</v>
      </c>
      <c r="C100" s="1" t="s">
        <v>14</v>
      </c>
      <c r="D100" s="5">
        <v>2.95</v>
      </c>
      <c r="E100" s="18">
        <v>677.97</v>
      </c>
      <c r="F100" s="1" t="s">
        <v>10</v>
      </c>
      <c r="G100" s="1" t="s">
        <v>22</v>
      </c>
      <c r="H100" s="1" t="s">
        <v>12</v>
      </c>
      <c r="I100" s="1" t="s">
        <v>13</v>
      </c>
    </row>
    <row r="101" spans="1:9" x14ac:dyDescent="0.25">
      <c r="A101" s="1">
        <v>10559</v>
      </c>
      <c r="B101" s="2">
        <v>44893</v>
      </c>
      <c r="C101" s="1" t="s">
        <v>17</v>
      </c>
      <c r="D101" s="5">
        <v>4.99</v>
      </c>
      <c r="E101" s="18">
        <v>200.4</v>
      </c>
      <c r="F101" s="1" t="s">
        <v>10</v>
      </c>
      <c r="G101" s="1" t="s">
        <v>22</v>
      </c>
      <c r="H101" s="1" t="s">
        <v>12</v>
      </c>
      <c r="I101" s="1" t="s">
        <v>13</v>
      </c>
    </row>
    <row r="102" spans="1:9" x14ac:dyDescent="0.25">
      <c r="A102" s="1">
        <v>10560</v>
      </c>
      <c r="B102" s="2">
        <v>44894</v>
      </c>
      <c r="C102" s="1" t="s">
        <v>21</v>
      </c>
      <c r="D102" s="5">
        <v>12.99</v>
      </c>
      <c r="E102" s="18">
        <v>477.29</v>
      </c>
      <c r="F102" s="1" t="s">
        <v>10</v>
      </c>
      <c r="G102" s="1" t="s">
        <v>22</v>
      </c>
      <c r="H102" s="1" t="s">
        <v>12</v>
      </c>
      <c r="I102" s="1" t="s">
        <v>13</v>
      </c>
    </row>
    <row r="103" spans="1:9" x14ac:dyDescent="0.25">
      <c r="A103" s="1">
        <v>10561</v>
      </c>
      <c r="B103" s="2">
        <v>44894</v>
      </c>
      <c r="C103" s="1" t="s">
        <v>25</v>
      </c>
      <c r="D103" s="5">
        <v>9.9499999999999993</v>
      </c>
      <c r="E103" s="18">
        <v>201.01</v>
      </c>
      <c r="F103" s="1" t="s">
        <v>10</v>
      </c>
      <c r="G103" s="1" t="s">
        <v>22</v>
      </c>
      <c r="H103" s="1" t="s">
        <v>12</v>
      </c>
      <c r="I103" s="1" t="s">
        <v>13</v>
      </c>
    </row>
    <row r="104" spans="1:9" x14ac:dyDescent="0.25">
      <c r="A104" s="1">
        <v>10562</v>
      </c>
      <c r="B104" s="2">
        <v>44894</v>
      </c>
      <c r="C104" s="1" t="s">
        <v>9</v>
      </c>
      <c r="D104" s="5">
        <v>3.49</v>
      </c>
      <c r="E104" s="18">
        <v>630.37</v>
      </c>
      <c r="F104" s="1" t="s">
        <v>10</v>
      </c>
      <c r="G104" s="1" t="s">
        <v>22</v>
      </c>
      <c r="H104" s="1" t="s">
        <v>12</v>
      </c>
      <c r="I104" s="1" t="s">
        <v>13</v>
      </c>
    </row>
    <row r="105" spans="1:9" x14ac:dyDescent="0.25">
      <c r="A105" s="1">
        <v>10563</v>
      </c>
      <c r="B105" s="2">
        <v>44894</v>
      </c>
      <c r="C105" s="1" t="s">
        <v>14</v>
      </c>
      <c r="D105" s="5">
        <v>2.95</v>
      </c>
      <c r="E105" s="18">
        <v>677.97</v>
      </c>
      <c r="F105" s="1" t="s">
        <v>10</v>
      </c>
      <c r="G105" s="1" t="s">
        <v>22</v>
      </c>
      <c r="H105" s="1" t="s">
        <v>12</v>
      </c>
      <c r="I105" s="1" t="s">
        <v>13</v>
      </c>
    </row>
    <row r="106" spans="1:9" x14ac:dyDescent="0.25">
      <c r="A106" s="1">
        <v>10564</v>
      </c>
      <c r="B106" s="2">
        <v>44894</v>
      </c>
      <c r="C106" s="1" t="s">
        <v>17</v>
      </c>
      <c r="D106" s="5">
        <v>4.99</v>
      </c>
      <c r="E106" s="18">
        <v>200.4</v>
      </c>
      <c r="F106" s="1" t="s">
        <v>10</v>
      </c>
      <c r="G106" s="1" t="s">
        <v>22</v>
      </c>
      <c r="H106" s="1" t="s">
        <v>12</v>
      </c>
      <c r="I106" s="1" t="s">
        <v>13</v>
      </c>
    </row>
    <row r="107" spans="1:9" x14ac:dyDescent="0.25">
      <c r="A107" s="1">
        <v>10565</v>
      </c>
      <c r="B107" s="2">
        <v>44895</v>
      </c>
      <c r="C107" s="1" t="s">
        <v>21</v>
      </c>
      <c r="D107" s="5">
        <v>12.99</v>
      </c>
      <c r="E107" s="18">
        <v>492.69</v>
      </c>
      <c r="F107" s="1" t="s">
        <v>10</v>
      </c>
      <c r="G107" s="1" t="s">
        <v>22</v>
      </c>
      <c r="H107" s="1" t="s">
        <v>12</v>
      </c>
      <c r="I107" s="1" t="s">
        <v>13</v>
      </c>
    </row>
    <row r="108" spans="1:9" x14ac:dyDescent="0.25">
      <c r="A108" s="1">
        <v>10566</v>
      </c>
      <c r="B108" s="2">
        <v>44895</v>
      </c>
      <c r="C108" s="1" t="s">
        <v>25</v>
      </c>
      <c r="D108" s="5">
        <v>9.9499999999999993</v>
      </c>
      <c r="E108" s="18">
        <v>201.01</v>
      </c>
      <c r="F108" s="1" t="s">
        <v>10</v>
      </c>
      <c r="G108" s="1" t="s">
        <v>22</v>
      </c>
      <c r="H108" s="1" t="s">
        <v>12</v>
      </c>
      <c r="I108" s="1" t="s">
        <v>13</v>
      </c>
    </row>
    <row r="109" spans="1:9" x14ac:dyDescent="0.25">
      <c r="A109" s="1">
        <v>10567</v>
      </c>
      <c r="B109" s="2">
        <v>44895</v>
      </c>
      <c r="C109" s="1" t="s">
        <v>9</v>
      </c>
      <c r="D109" s="5">
        <v>3.49</v>
      </c>
      <c r="E109" s="18">
        <v>630.37</v>
      </c>
      <c r="F109" s="1" t="s">
        <v>10</v>
      </c>
      <c r="G109" s="1" t="s">
        <v>22</v>
      </c>
      <c r="H109" s="1" t="s">
        <v>12</v>
      </c>
      <c r="I109" s="1" t="s">
        <v>13</v>
      </c>
    </row>
    <row r="110" spans="1:9" x14ac:dyDescent="0.25">
      <c r="A110" s="1">
        <v>10568</v>
      </c>
      <c r="B110" s="2">
        <v>44895</v>
      </c>
      <c r="C110" s="1" t="s">
        <v>14</v>
      </c>
      <c r="D110" s="5">
        <v>2.95</v>
      </c>
      <c r="E110" s="18">
        <v>677.97</v>
      </c>
      <c r="F110" s="1" t="s">
        <v>10</v>
      </c>
      <c r="G110" s="1" t="s">
        <v>22</v>
      </c>
      <c r="H110" s="1" t="s">
        <v>12</v>
      </c>
      <c r="I110" s="1" t="s">
        <v>13</v>
      </c>
    </row>
    <row r="111" spans="1:9" x14ac:dyDescent="0.25">
      <c r="A111" s="1">
        <v>10569</v>
      </c>
      <c r="B111" s="2">
        <v>44895</v>
      </c>
      <c r="C111" s="1" t="s">
        <v>17</v>
      </c>
      <c r="D111" s="5">
        <v>4.99</v>
      </c>
      <c r="E111" s="18">
        <v>200.4</v>
      </c>
      <c r="F111" s="1" t="s">
        <v>10</v>
      </c>
      <c r="G111" s="1" t="s">
        <v>22</v>
      </c>
      <c r="H111" s="1" t="s">
        <v>12</v>
      </c>
      <c r="I111" s="1" t="s">
        <v>13</v>
      </c>
    </row>
    <row r="112" spans="1:9" x14ac:dyDescent="0.25">
      <c r="A112" s="1">
        <v>10570</v>
      </c>
      <c r="B112" s="2">
        <v>44896</v>
      </c>
      <c r="C112" s="1" t="s">
        <v>21</v>
      </c>
      <c r="D112" s="5">
        <v>12.99</v>
      </c>
      <c r="E112" s="18">
        <v>492.69</v>
      </c>
      <c r="F112" s="1" t="s">
        <v>10</v>
      </c>
      <c r="G112" s="1" t="s">
        <v>22</v>
      </c>
      <c r="H112" s="1" t="s">
        <v>12</v>
      </c>
      <c r="I112" s="1" t="s">
        <v>13</v>
      </c>
    </row>
    <row r="113" spans="1:9" x14ac:dyDescent="0.25">
      <c r="A113" s="1">
        <v>10571</v>
      </c>
      <c r="B113" s="2">
        <v>44896</v>
      </c>
      <c r="C113" s="1" t="s">
        <v>25</v>
      </c>
      <c r="D113" s="5">
        <v>9.9499999999999993</v>
      </c>
      <c r="E113" s="18">
        <v>201.01</v>
      </c>
      <c r="F113" s="1" t="s">
        <v>10</v>
      </c>
      <c r="G113" s="1" t="s">
        <v>22</v>
      </c>
      <c r="H113" s="1" t="s">
        <v>12</v>
      </c>
      <c r="I113" s="1" t="s">
        <v>13</v>
      </c>
    </row>
    <row r="114" spans="1:9" x14ac:dyDescent="0.25">
      <c r="A114" s="1">
        <v>10572</v>
      </c>
      <c r="B114" s="2">
        <v>44896</v>
      </c>
      <c r="C114" s="1" t="s">
        <v>9</v>
      </c>
      <c r="D114" s="5">
        <v>3.49</v>
      </c>
      <c r="E114" s="18">
        <v>573.07000000000005</v>
      </c>
      <c r="F114" s="1" t="s">
        <v>10</v>
      </c>
      <c r="G114" s="1" t="s">
        <v>22</v>
      </c>
      <c r="H114" s="1" t="s">
        <v>26</v>
      </c>
      <c r="I114" s="1" t="s">
        <v>27</v>
      </c>
    </row>
    <row r="115" spans="1:9" x14ac:dyDescent="0.25">
      <c r="A115" s="1">
        <v>10573</v>
      </c>
      <c r="B115" s="2">
        <v>44896</v>
      </c>
      <c r="C115" s="1" t="s">
        <v>14</v>
      </c>
      <c r="D115" s="5">
        <v>2.95</v>
      </c>
      <c r="E115" s="18">
        <v>677.97</v>
      </c>
      <c r="F115" s="1" t="s">
        <v>10</v>
      </c>
      <c r="G115" s="1" t="s">
        <v>22</v>
      </c>
      <c r="H115" s="1" t="s">
        <v>26</v>
      </c>
      <c r="I115" s="1" t="s">
        <v>27</v>
      </c>
    </row>
    <row r="116" spans="1:9" x14ac:dyDescent="0.25">
      <c r="A116" s="1">
        <v>10574</v>
      </c>
      <c r="B116" s="2">
        <v>44896</v>
      </c>
      <c r="C116" s="1" t="s">
        <v>17</v>
      </c>
      <c r="D116" s="5">
        <v>4.99</v>
      </c>
      <c r="E116" s="18">
        <v>200.4</v>
      </c>
      <c r="F116" s="1" t="s">
        <v>10</v>
      </c>
      <c r="G116" s="1" t="s">
        <v>22</v>
      </c>
      <c r="H116" s="1" t="s">
        <v>26</v>
      </c>
      <c r="I116" s="1" t="s">
        <v>27</v>
      </c>
    </row>
    <row r="117" spans="1:9" x14ac:dyDescent="0.25">
      <c r="A117" s="1">
        <v>10575</v>
      </c>
      <c r="B117" s="2">
        <v>44897</v>
      </c>
      <c r="C117" s="1" t="s">
        <v>21</v>
      </c>
      <c r="D117" s="5">
        <v>12.99</v>
      </c>
      <c r="E117" s="18">
        <v>523.48</v>
      </c>
      <c r="F117" s="1" t="s">
        <v>10</v>
      </c>
      <c r="G117" s="1" t="s">
        <v>22</v>
      </c>
      <c r="H117" s="1" t="s">
        <v>26</v>
      </c>
      <c r="I117" s="1" t="s">
        <v>27</v>
      </c>
    </row>
    <row r="118" spans="1:9" x14ac:dyDescent="0.25">
      <c r="A118" s="1">
        <v>10576</v>
      </c>
      <c r="B118" s="2">
        <v>44897</v>
      </c>
      <c r="C118" s="1" t="s">
        <v>25</v>
      </c>
      <c r="D118" s="5">
        <v>9.9499999999999993</v>
      </c>
      <c r="E118" s="18">
        <v>201.01</v>
      </c>
      <c r="F118" s="1" t="s">
        <v>10</v>
      </c>
      <c r="G118" s="1" t="s">
        <v>22</v>
      </c>
      <c r="H118" s="1" t="s">
        <v>26</v>
      </c>
      <c r="I118" s="1" t="s">
        <v>27</v>
      </c>
    </row>
    <row r="119" spans="1:9" x14ac:dyDescent="0.25">
      <c r="A119" s="1">
        <v>10577</v>
      </c>
      <c r="B119" s="2">
        <v>44897</v>
      </c>
      <c r="C119" s="1" t="s">
        <v>9</v>
      </c>
      <c r="D119" s="5">
        <v>3.49</v>
      </c>
      <c r="E119" s="18">
        <v>630.37</v>
      </c>
      <c r="F119" s="1" t="s">
        <v>10</v>
      </c>
      <c r="G119" s="1" t="s">
        <v>22</v>
      </c>
      <c r="H119" s="1" t="s">
        <v>26</v>
      </c>
      <c r="I119" s="1" t="s">
        <v>27</v>
      </c>
    </row>
    <row r="120" spans="1:9" x14ac:dyDescent="0.25">
      <c r="A120" s="1">
        <v>10578</v>
      </c>
      <c r="B120" s="2">
        <v>44897</v>
      </c>
      <c r="C120" s="1" t="s">
        <v>14</v>
      </c>
      <c r="D120" s="5">
        <v>2.95</v>
      </c>
      <c r="E120" s="18">
        <v>677.97</v>
      </c>
      <c r="F120" s="1" t="s">
        <v>10</v>
      </c>
      <c r="G120" s="1" t="s">
        <v>22</v>
      </c>
      <c r="H120" s="1" t="s">
        <v>26</v>
      </c>
      <c r="I120" s="1" t="s">
        <v>27</v>
      </c>
    </row>
    <row r="121" spans="1:9" x14ac:dyDescent="0.25">
      <c r="A121" s="1">
        <v>10579</v>
      </c>
      <c r="B121" s="2">
        <v>44897</v>
      </c>
      <c r="C121" s="1" t="s">
        <v>17</v>
      </c>
      <c r="D121" s="5">
        <v>4.99</v>
      </c>
      <c r="E121" s="18">
        <v>200.4</v>
      </c>
      <c r="F121" s="1" t="s">
        <v>10</v>
      </c>
      <c r="G121" s="1" t="s">
        <v>22</v>
      </c>
      <c r="H121" s="1" t="s">
        <v>26</v>
      </c>
      <c r="I121" s="1" t="s">
        <v>27</v>
      </c>
    </row>
    <row r="122" spans="1:9" x14ac:dyDescent="0.25">
      <c r="A122" s="1">
        <v>10580</v>
      </c>
      <c r="B122" s="2">
        <v>44898</v>
      </c>
      <c r="C122" s="1" t="s">
        <v>21</v>
      </c>
      <c r="D122" s="5">
        <v>12.99</v>
      </c>
      <c r="E122" s="18">
        <v>523.48</v>
      </c>
      <c r="F122" s="1" t="s">
        <v>10</v>
      </c>
      <c r="G122" s="1" t="s">
        <v>22</v>
      </c>
      <c r="H122" s="1" t="s">
        <v>26</v>
      </c>
      <c r="I122" s="1" t="s">
        <v>27</v>
      </c>
    </row>
    <row r="123" spans="1:9" x14ac:dyDescent="0.25">
      <c r="A123" s="1">
        <v>10581</v>
      </c>
      <c r="B123" s="2">
        <v>44898</v>
      </c>
      <c r="C123" s="1" t="s">
        <v>25</v>
      </c>
      <c r="D123" s="5">
        <v>9.9499999999999993</v>
      </c>
      <c r="E123" s="18">
        <v>201.01</v>
      </c>
      <c r="F123" s="1" t="s">
        <v>10</v>
      </c>
      <c r="G123" s="1" t="s">
        <v>22</v>
      </c>
      <c r="H123" s="1" t="s">
        <v>26</v>
      </c>
      <c r="I123" s="1" t="s">
        <v>27</v>
      </c>
    </row>
    <row r="124" spans="1:9" x14ac:dyDescent="0.25">
      <c r="A124" s="1">
        <v>10582</v>
      </c>
      <c r="B124" s="2">
        <v>44898</v>
      </c>
      <c r="C124" s="1" t="s">
        <v>9</v>
      </c>
      <c r="D124" s="5">
        <v>3.49</v>
      </c>
      <c r="E124" s="18">
        <v>630.37</v>
      </c>
      <c r="F124" s="1" t="s">
        <v>10</v>
      </c>
      <c r="G124" s="1" t="s">
        <v>22</v>
      </c>
      <c r="H124" s="1" t="s">
        <v>12</v>
      </c>
      <c r="I124" s="1" t="s">
        <v>13</v>
      </c>
    </row>
    <row r="125" spans="1:9" x14ac:dyDescent="0.25">
      <c r="A125" s="1">
        <v>10583</v>
      </c>
      <c r="B125" s="2">
        <v>44898</v>
      </c>
      <c r="C125" s="1" t="s">
        <v>14</v>
      </c>
      <c r="D125" s="5">
        <v>2.95</v>
      </c>
      <c r="E125" s="18">
        <v>677.97</v>
      </c>
      <c r="F125" s="1" t="s">
        <v>10</v>
      </c>
      <c r="G125" s="1" t="s">
        <v>22</v>
      </c>
      <c r="H125" s="1" t="s">
        <v>12</v>
      </c>
      <c r="I125" s="1" t="s">
        <v>13</v>
      </c>
    </row>
    <row r="126" spans="1:9" x14ac:dyDescent="0.25">
      <c r="A126" s="1">
        <v>10584</v>
      </c>
      <c r="B126" s="2">
        <v>44898</v>
      </c>
      <c r="C126" s="1" t="s">
        <v>17</v>
      </c>
      <c r="D126" s="5">
        <v>4.99</v>
      </c>
      <c r="E126" s="18">
        <v>200.4</v>
      </c>
      <c r="F126" s="1" t="s">
        <v>10</v>
      </c>
      <c r="G126" s="1" t="s">
        <v>22</v>
      </c>
      <c r="H126" s="1" t="s">
        <v>12</v>
      </c>
      <c r="I126" s="1" t="s">
        <v>13</v>
      </c>
    </row>
    <row r="127" spans="1:9" x14ac:dyDescent="0.25">
      <c r="A127" s="1">
        <v>10585</v>
      </c>
      <c r="B127" s="2">
        <v>44899</v>
      </c>
      <c r="C127" s="1" t="s">
        <v>21</v>
      </c>
      <c r="D127" s="5">
        <v>12.99</v>
      </c>
      <c r="E127" s="18">
        <v>538.88</v>
      </c>
      <c r="F127" s="1" t="s">
        <v>10</v>
      </c>
      <c r="G127" s="1" t="s">
        <v>22</v>
      </c>
      <c r="H127" s="1" t="s">
        <v>12</v>
      </c>
      <c r="I127" s="1" t="s">
        <v>13</v>
      </c>
    </row>
    <row r="128" spans="1:9" x14ac:dyDescent="0.25">
      <c r="A128" s="1">
        <v>10586</v>
      </c>
      <c r="B128" s="2">
        <v>44899</v>
      </c>
      <c r="C128" s="1" t="s">
        <v>25</v>
      </c>
      <c r="D128" s="5">
        <v>9.9499999999999993</v>
      </c>
      <c r="E128" s="18">
        <v>201.01</v>
      </c>
      <c r="F128" s="1" t="s">
        <v>10</v>
      </c>
      <c r="G128" s="1" t="s">
        <v>22</v>
      </c>
      <c r="H128" s="1" t="s">
        <v>12</v>
      </c>
      <c r="I128" s="1" t="s">
        <v>13</v>
      </c>
    </row>
    <row r="129" spans="1:9" x14ac:dyDescent="0.25">
      <c r="A129" s="1">
        <v>10537</v>
      </c>
      <c r="B129" s="2">
        <v>44889</v>
      </c>
      <c r="C129" s="1" t="s">
        <v>9</v>
      </c>
      <c r="D129" s="5">
        <v>3.49</v>
      </c>
      <c r="E129" s="18">
        <v>630.37</v>
      </c>
      <c r="F129" s="1" t="s">
        <v>28</v>
      </c>
      <c r="G129" s="1" t="s">
        <v>22</v>
      </c>
      <c r="H129" s="1" t="s">
        <v>15</v>
      </c>
      <c r="I129" s="1" t="s">
        <v>16</v>
      </c>
    </row>
    <row r="130" spans="1:9" x14ac:dyDescent="0.25">
      <c r="A130" s="1">
        <v>10538</v>
      </c>
      <c r="B130" s="2">
        <v>44889</v>
      </c>
      <c r="C130" s="1" t="s">
        <v>14</v>
      </c>
      <c r="D130" s="5">
        <v>2.95</v>
      </c>
      <c r="E130" s="18">
        <v>745.76</v>
      </c>
      <c r="F130" s="1" t="s">
        <v>28</v>
      </c>
      <c r="G130" s="1" t="s">
        <v>22</v>
      </c>
      <c r="H130" s="1" t="s">
        <v>15</v>
      </c>
      <c r="I130" s="1" t="s">
        <v>16</v>
      </c>
    </row>
    <row r="131" spans="1:9" x14ac:dyDescent="0.25">
      <c r="A131" s="1">
        <v>10539</v>
      </c>
      <c r="B131" s="2">
        <v>44889</v>
      </c>
      <c r="C131" s="1" t="s">
        <v>17</v>
      </c>
      <c r="D131" s="5">
        <v>4.99</v>
      </c>
      <c r="E131" s="18">
        <v>200.4</v>
      </c>
      <c r="F131" s="1" t="s">
        <v>28</v>
      </c>
      <c r="G131" s="1" t="s">
        <v>22</v>
      </c>
      <c r="H131" s="1" t="s">
        <v>15</v>
      </c>
      <c r="I131" s="1" t="s">
        <v>16</v>
      </c>
    </row>
    <row r="132" spans="1:9" x14ac:dyDescent="0.25">
      <c r="A132" s="1">
        <v>10590</v>
      </c>
      <c r="B132" s="2">
        <v>44900</v>
      </c>
      <c r="C132" s="1" t="s">
        <v>21</v>
      </c>
      <c r="D132" s="5">
        <v>12.99</v>
      </c>
      <c r="E132" s="18">
        <v>554.27</v>
      </c>
      <c r="F132" s="1" t="s">
        <v>10</v>
      </c>
      <c r="G132" s="1" t="s">
        <v>22</v>
      </c>
      <c r="H132" s="1" t="s">
        <v>12</v>
      </c>
      <c r="I132" s="1" t="s">
        <v>13</v>
      </c>
    </row>
    <row r="133" spans="1:9" x14ac:dyDescent="0.25">
      <c r="A133" s="1">
        <v>10591</v>
      </c>
      <c r="B133" s="2">
        <v>44900</v>
      </c>
      <c r="C133" s="1" t="s">
        <v>25</v>
      </c>
      <c r="D133" s="5">
        <v>9.9499999999999993</v>
      </c>
      <c r="E133" s="18">
        <v>201.01</v>
      </c>
      <c r="F133" s="1" t="s">
        <v>10</v>
      </c>
      <c r="G133" s="1" t="s">
        <v>22</v>
      </c>
      <c r="H133" s="1" t="s">
        <v>12</v>
      </c>
      <c r="I133" s="1" t="s">
        <v>13</v>
      </c>
    </row>
    <row r="134" spans="1:9" x14ac:dyDescent="0.25">
      <c r="A134" s="1">
        <v>10592</v>
      </c>
      <c r="B134" s="2">
        <v>44900</v>
      </c>
      <c r="C134" s="1" t="s">
        <v>9</v>
      </c>
      <c r="D134" s="5">
        <v>3.49</v>
      </c>
      <c r="E134" s="18">
        <v>573.07000000000005</v>
      </c>
      <c r="F134" s="1" t="s">
        <v>10</v>
      </c>
      <c r="G134" s="1" t="s">
        <v>22</v>
      </c>
      <c r="H134" s="1" t="s">
        <v>12</v>
      </c>
      <c r="I134" s="1" t="s">
        <v>13</v>
      </c>
    </row>
    <row r="135" spans="1:9" x14ac:dyDescent="0.25">
      <c r="A135" s="1">
        <v>10593</v>
      </c>
      <c r="B135" s="2">
        <v>44900</v>
      </c>
      <c r="C135" s="1" t="s">
        <v>14</v>
      </c>
      <c r="D135" s="5">
        <v>2.95</v>
      </c>
      <c r="E135" s="18">
        <v>677.97</v>
      </c>
      <c r="F135" s="1" t="s">
        <v>10</v>
      </c>
      <c r="G135" s="1" t="s">
        <v>22</v>
      </c>
      <c r="H135" s="1" t="s">
        <v>12</v>
      </c>
      <c r="I135" s="1" t="s">
        <v>13</v>
      </c>
    </row>
    <row r="136" spans="1:9" x14ac:dyDescent="0.25">
      <c r="A136" s="1">
        <v>10594</v>
      </c>
      <c r="B136" s="2">
        <v>44900</v>
      </c>
      <c r="C136" s="1" t="s">
        <v>17</v>
      </c>
      <c r="D136" s="5">
        <v>4.99</v>
      </c>
      <c r="E136" s="18">
        <v>200.4</v>
      </c>
      <c r="F136" s="1" t="s">
        <v>10</v>
      </c>
      <c r="G136" s="1" t="s">
        <v>22</v>
      </c>
      <c r="H136" s="1" t="s">
        <v>12</v>
      </c>
      <c r="I136" s="1" t="s">
        <v>13</v>
      </c>
    </row>
    <row r="137" spans="1:9" x14ac:dyDescent="0.25">
      <c r="A137" s="1">
        <v>10595</v>
      </c>
      <c r="B137" s="2">
        <v>44901</v>
      </c>
      <c r="C137" s="1" t="s">
        <v>21</v>
      </c>
      <c r="D137" s="5">
        <v>12.99</v>
      </c>
      <c r="E137" s="18">
        <v>538.88</v>
      </c>
      <c r="F137" s="1" t="s">
        <v>10</v>
      </c>
      <c r="G137" s="1" t="s">
        <v>22</v>
      </c>
      <c r="H137" s="1" t="s">
        <v>12</v>
      </c>
      <c r="I137" s="1" t="s">
        <v>13</v>
      </c>
    </row>
    <row r="138" spans="1:9" x14ac:dyDescent="0.25">
      <c r="A138" s="1">
        <v>10596</v>
      </c>
      <c r="B138" s="2">
        <v>44901</v>
      </c>
      <c r="C138" s="1" t="s">
        <v>25</v>
      </c>
      <c r="D138" s="5">
        <v>9.9499999999999993</v>
      </c>
      <c r="E138" s="18">
        <v>201.01</v>
      </c>
      <c r="F138" s="1" t="s">
        <v>10</v>
      </c>
      <c r="G138" s="1" t="s">
        <v>22</v>
      </c>
      <c r="H138" s="1" t="s">
        <v>12</v>
      </c>
      <c r="I138" s="1" t="s">
        <v>13</v>
      </c>
    </row>
    <row r="139" spans="1:9" x14ac:dyDescent="0.25">
      <c r="A139" s="1">
        <v>10597</v>
      </c>
      <c r="B139" s="2">
        <v>44901</v>
      </c>
      <c r="C139" s="1" t="s">
        <v>9</v>
      </c>
      <c r="D139" s="5">
        <v>3.49</v>
      </c>
      <c r="E139" s="18">
        <v>573.07000000000005</v>
      </c>
      <c r="F139" s="1" t="s">
        <v>10</v>
      </c>
      <c r="G139" s="1" t="s">
        <v>22</v>
      </c>
      <c r="H139" s="1" t="s">
        <v>12</v>
      </c>
      <c r="I139" s="1" t="s">
        <v>13</v>
      </c>
    </row>
    <row r="140" spans="1:9" x14ac:dyDescent="0.25">
      <c r="A140" s="1">
        <v>10598</v>
      </c>
      <c r="B140" s="2">
        <v>44901</v>
      </c>
      <c r="C140" s="1" t="s">
        <v>14</v>
      </c>
      <c r="D140" s="5">
        <v>2.95</v>
      </c>
      <c r="E140" s="18">
        <v>677.97</v>
      </c>
      <c r="F140" s="1" t="s">
        <v>10</v>
      </c>
      <c r="G140" s="1" t="s">
        <v>22</v>
      </c>
      <c r="H140" s="1" t="s">
        <v>12</v>
      </c>
      <c r="I140" s="1" t="s">
        <v>13</v>
      </c>
    </row>
    <row r="141" spans="1:9" x14ac:dyDescent="0.25">
      <c r="A141" s="1">
        <v>10599</v>
      </c>
      <c r="B141" s="2">
        <v>44901</v>
      </c>
      <c r="C141" s="1" t="s">
        <v>17</v>
      </c>
      <c r="D141" s="5">
        <v>4.99</v>
      </c>
      <c r="E141" s="18">
        <v>200.4</v>
      </c>
      <c r="F141" s="1" t="s">
        <v>10</v>
      </c>
      <c r="G141" s="1" t="s">
        <v>22</v>
      </c>
      <c r="H141" s="1" t="s">
        <v>12</v>
      </c>
      <c r="I141" s="1" t="s">
        <v>13</v>
      </c>
    </row>
    <row r="142" spans="1:9" x14ac:dyDescent="0.25">
      <c r="A142" s="1">
        <v>10600</v>
      </c>
      <c r="B142" s="2">
        <v>44902</v>
      </c>
      <c r="C142" s="1" t="s">
        <v>21</v>
      </c>
      <c r="D142" s="5">
        <v>12.99</v>
      </c>
      <c r="E142" s="18">
        <v>523.48</v>
      </c>
      <c r="F142" s="1" t="s">
        <v>10</v>
      </c>
      <c r="G142" s="1" t="s">
        <v>22</v>
      </c>
      <c r="H142" s="1" t="s">
        <v>12</v>
      </c>
      <c r="I142" s="1" t="s">
        <v>13</v>
      </c>
    </row>
    <row r="143" spans="1:9" x14ac:dyDescent="0.25">
      <c r="A143" s="1">
        <v>10601</v>
      </c>
      <c r="B143" s="2">
        <v>44902</v>
      </c>
      <c r="C143" s="1" t="s">
        <v>25</v>
      </c>
      <c r="D143" s="5">
        <v>9.9499999999999993</v>
      </c>
      <c r="E143" s="18">
        <v>201.01</v>
      </c>
      <c r="F143" s="1" t="s">
        <v>10</v>
      </c>
      <c r="G143" s="1" t="s">
        <v>22</v>
      </c>
      <c r="H143" s="1" t="s">
        <v>12</v>
      </c>
      <c r="I143" s="1" t="s">
        <v>13</v>
      </c>
    </row>
    <row r="144" spans="1:9" x14ac:dyDescent="0.25">
      <c r="A144" s="1">
        <v>10602</v>
      </c>
      <c r="B144" s="2">
        <v>44902</v>
      </c>
      <c r="C144" s="1" t="s">
        <v>9</v>
      </c>
      <c r="D144" s="5">
        <v>3.49</v>
      </c>
      <c r="E144" s="18">
        <v>630.37</v>
      </c>
      <c r="F144" s="1" t="s">
        <v>10</v>
      </c>
      <c r="G144" s="1" t="s">
        <v>29</v>
      </c>
      <c r="H144" s="1" t="s">
        <v>12</v>
      </c>
      <c r="I144" s="1" t="s">
        <v>13</v>
      </c>
    </row>
    <row r="145" spans="1:9" x14ac:dyDescent="0.25">
      <c r="A145" s="1">
        <v>10603</v>
      </c>
      <c r="B145" s="2">
        <v>44902</v>
      </c>
      <c r="C145" s="1" t="s">
        <v>14</v>
      </c>
      <c r="D145" s="5">
        <v>2.95</v>
      </c>
      <c r="E145" s="18">
        <v>677.97</v>
      </c>
      <c r="F145" s="1" t="s">
        <v>10</v>
      </c>
      <c r="G145" s="1" t="s">
        <v>29</v>
      </c>
      <c r="H145" s="1" t="s">
        <v>12</v>
      </c>
      <c r="I145" s="1" t="s">
        <v>13</v>
      </c>
    </row>
    <row r="146" spans="1:9" x14ac:dyDescent="0.25">
      <c r="A146" s="1">
        <v>10604</v>
      </c>
      <c r="B146" s="2">
        <v>44902</v>
      </c>
      <c r="C146" s="1" t="s">
        <v>17</v>
      </c>
      <c r="D146" s="5">
        <v>4.99</v>
      </c>
      <c r="E146" s="18">
        <v>200.4</v>
      </c>
      <c r="F146" s="1" t="s">
        <v>10</v>
      </c>
      <c r="G146" s="1" t="s">
        <v>29</v>
      </c>
      <c r="H146" s="1" t="s">
        <v>12</v>
      </c>
      <c r="I146" s="1" t="s">
        <v>13</v>
      </c>
    </row>
    <row r="147" spans="1:9" x14ac:dyDescent="0.25">
      <c r="A147" s="1">
        <v>10605</v>
      </c>
      <c r="B147" s="2">
        <v>44903</v>
      </c>
      <c r="C147" s="1" t="s">
        <v>21</v>
      </c>
      <c r="D147" s="5">
        <v>12.99</v>
      </c>
      <c r="E147" s="18">
        <v>538.88</v>
      </c>
      <c r="F147" s="1" t="s">
        <v>10</v>
      </c>
      <c r="G147" s="1" t="s">
        <v>29</v>
      </c>
      <c r="H147" s="1" t="s">
        <v>12</v>
      </c>
      <c r="I147" s="1" t="s">
        <v>13</v>
      </c>
    </row>
    <row r="148" spans="1:9" x14ac:dyDescent="0.25">
      <c r="A148" s="1">
        <v>10606</v>
      </c>
      <c r="B148" s="2">
        <v>44903</v>
      </c>
      <c r="C148" s="1" t="s">
        <v>25</v>
      </c>
      <c r="D148" s="5">
        <v>9.9499999999999993</v>
      </c>
      <c r="E148" s="18">
        <v>201.01</v>
      </c>
      <c r="F148" s="1" t="s">
        <v>10</v>
      </c>
      <c r="G148" s="1" t="s">
        <v>29</v>
      </c>
      <c r="H148" s="1" t="s">
        <v>12</v>
      </c>
      <c r="I148" s="1" t="s">
        <v>13</v>
      </c>
    </row>
    <row r="149" spans="1:9" x14ac:dyDescent="0.25">
      <c r="A149" s="1">
        <v>10607</v>
      </c>
      <c r="B149" s="2">
        <v>44903</v>
      </c>
      <c r="C149" s="1" t="s">
        <v>9</v>
      </c>
      <c r="D149" s="5">
        <v>3.49</v>
      </c>
      <c r="E149" s="18">
        <v>630.37</v>
      </c>
      <c r="F149" s="1" t="s">
        <v>10</v>
      </c>
      <c r="G149" s="1" t="s">
        <v>29</v>
      </c>
      <c r="H149" s="1" t="s">
        <v>12</v>
      </c>
      <c r="I149" s="1" t="s">
        <v>13</v>
      </c>
    </row>
    <row r="150" spans="1:9" x14ac:dyDescent="0.25">
      <c r="A150" s="1">
        <v>10608</v>
      </c>
      <c r="B150" s="2">
        <v>44903</v>
      </c>
      <c r="C150" s="1" t="s">
        <v>14</v>
      </c>
      <c r="D150" s="5">
        <v>2.95</v>
      </c>
      <c r="E150" s="18">
        <v>677.97</v>
      </c>
      <c r="F150" s="1" t="s">
        <v>10</v>
      </c>
      <c r="G150" s="1" t="s">
        <v>11</v>
      </c>
      <c r="H150" s="1" t="s">
        <v>12</v>
      </c>
      <c r="I150" s="1" t="s">
        <v>13</v>
      </c>
    </row>
    <row r="151" spans="1:9" x14ac:dyDescent="0.25">
      <c r="A151" s="1">
        <v>10609</v>
      </c>
      <c r="B151" s="2">
        <v>44903</v>
      </c>
      <c r="C151" s="1" t="s">
        <v>17</v>
      </c>
      <c r="D151" s="5">
        <v>4.99</v>
      </c>
      <c r="E151" s="18">
        <v>200.4</v>
      </c>
      <c r="F151" s="1" t="s">
        <v>10</v>
      </c>
      <c r="G151" s="1" t="s">
        <v>11</v>
      </c>
      <c r="H151" s="1" t="s">
        <v>12</v>
      </c>
      <c r="I151" s="1" t="s">
        <v>13</v>
      </c>
    </row>
    <row r="152" spans="1:9" x14ac:dyDescent="0.25">
      <c r="A152" s="1">
        <v>10610</v>
      </c>
      <c r="B152" s="2">
        <v>44904</v>
      </c>
      <c r="C152" s="1" t="s">
        <v>21</v>
      </c>
      <c r="D152" s="5">
        <v>12.99</v>
      </c>
      <c r="E152" s="18">
        <v>569.66999999999996</v>
      </c>
      <c r="F152" s="1" t="s">
        <v>10</v>
      </c>
      <c r="G152" s="1" t="s">
        <v>11</v>
      </c>
      <c r="H152" s="1" t="s">
        <v>12</v>
      </c>
      <c r="I152" s="1" t="s">
        <v>13</v>
      </c>
    </row>
    <row r="153" spans="1:9" x14ac:dyDescent="0.25">
      <c r="A153" s="1">
        <v>10611</v>
      </c>
      <c r="B153" s="2">
        <v>44904</v>
      </c>
      <c r="C153" s="1" t="s">
        <v>25</v>
      </c>
      <c r="D153" s="5">
        <v>9.9499999999999993</v>
      </c>
      <c r="E153" s="18">
        <v>201.01</v>
      </c>
      <c r="F153" s="1" t="s">
        <v>10</v>
      </c>
      <c r="G153" s="1" t="s">
        <v>11</v>
      </c>
      <c r="H153" s="1" t="s">
        <v>12</v>
      </c>
      <c r="I153" s="1" t="s">
        <v>13</v>
      </c>
    </row>
    <row r="154" spans="1:9" x14ac:dyDescent="0.25">
      <c r="A154" s="1">
        <v>10612</v>
      </c>
      <c r="B154" s="2">
        <v>44904</v>
      </c>
      <c r="C154" s="1" t="s">
        <v>9</v>
      </c>
      <c r="D154" s="5">
        <v>3.49</v>
      </c>
      <c r="E154" s="18">
        <v>630.37</v>
      </c>
      <c r="F154" s="1" t="s">
        <v>10</v>
      </c>
      <c r="G154" s="1" t="s">
        <v>11</v>
      </c>
      <c r="H154" s="1" t="s">
        <v>12</v>
      </c>
      <c r="I154" s="1" t="s">
        <v>13</v>
      </c>
    </row>
    <row r="155" spans="1:9" x14ac:dyDescent="0.25">
      <c r="A155" s="1">
        <v>10613</v>
      </c>
      <c r="B155" s="2">
        <v>44904</v>
      </c>
      <c r="C155" s="1" t="s">
        <v>14</v>
      </c>
      <c r="D155" s="5">
        <v>2.95</v>
      </c>
      <c r="E155" s="18">
        <v>677.97</v>
      </c>
      <c r="F155" s="1" t="s">
        <v>10</v>
      </c>
      <c r="G155" s="1" t="s">
        <v>11</v>
      </c>
      <c r="H155" s="1" t="s">
        <v>12</v>
      </c>
      <c r="I155" s="1" t="s">
        <v>13</v>
      </c>
    </row>
    <row r="156" spans="1:9" x14ac:dyDescent="0.25">
      <c r="A156" s="1">
        <v>10614</v>
      </c>
      <c r="B156" s="2">
        <v>44904</v>
      </c>
      <c r="C156" s="1" t="s">
        <v>17</v>
      </c>
      <c r="D156" s="5">
        <v>4.99</v>
      </c>
      <c r="E156" s="18">
        <v>200.4</v>
      </c>
      <c r="F156" s="1" t="s">
        <v>10</v>
      </c>
      <c r="G156" s="1" t="s">
        <v>11</v>
      </c>
      <c r="H156" s="1" t="s">
        <v>12</v>
      </c>
      <c r="I156" s="1" t="s">
        <v>13</v>
      </c>
    </row>
    <row r="157" spans="1:9" x14ac:dyDescent="0.25">
      <c r="A157" s="1">
        <v>10615</v>
      </c>
      <c r="B157" s="2">
        <v>44905</v>
      </c>
      <c r="C157" s="1" t="s">
        <v>21</v>
      </c>
      <c r="D157" s="5">
        <v>12.99</v>
      </c>
      <c r="E157" s="18">
        <v>569.66999999999996</v>
      </c>
      <c r="F157" s="1" t="s">
        <v>10</v>
      </c>
      <c r="G157" s="1" t="s">
        <v>11</v>
      </c>
      <c r="H157" s="1" t="s">
        <v>12</v>
      </c>
      <c r="I157" s="1" t="s">
        <v>13</v>
      </c>
    </row>
    <row r="158" spans="1:9" x14ac:dyDescent="0.25">
      <c r="A158" s="1">
        <v>10616</v>
      </c>
      <c r="B158" s="2">
        <v>44905</v>
      </c>
      <c r="C158" s="1" t="s">
        <v>25</v>
      </c>
      <c r="D158" s="5">
        <v>9.9499999999999993</v>
      </c>
      <c r="E158" s="18">
        <v>201.01</v>
      </c>
      <c r="F158" s="1" t="s">
        <v>10</v>
      </c>
      <c r="G158" s="1" t="s">
        <v>11</v>
      </c>
      <c r="H158" s="1" t="s">
        <v>12</v>
      </c>
      <c r="I158" s="1" t="s">
        <v>13</v>
      </c>
    </row>
    <row r="159" spans="1:9" x14ac:dyDescent="0.25">
      <c r="A159" s="1">
        <v>10617</v>
      </c>
      <c r="B159" s="2">
        <v>44905</v>
      </c>
      <c r="C159" s="1" t="s">
        <v>9</v>
      </c>
      <c r="D159" s="5">
        <v>3.49</v>
      </c>
      <c r="E159" s="18">
        <v>630.37</v>
      </c>
      <c r="F159" s="1" t="s">
        <v>10</v>
      </c>
      <c r="G159" s="1" t="s">
        <v>11</v>
      </c>
      <c r="H159" s="1" t="s">
        <v>12</v>
      </c>
      <c r="I159" s="1" t="s">
        <v>13</v>
      </c>
    </row>
    <row r="160" spans="1:9" x14ac:dyDescent="0.25">
      <c r="A160" s="1">
        <v>10618</v>
      </c>
      <c r="B160" s="2">
        <v>44905</v>
      </c>
      <c r="C160" s="1" t="s">
        <v>14</v>
      </c>
      <c r="D160" s="5">
        <v>2.95</v>
      </c>
      <c r="E160" s="18">
        <v>677.97</v>
      </c>
      <c r="F160" s="1" t="s">
        <v>10</v>
      </c>
      <c r="G160" s="1" t="s">
        <v>11</v>
      </c>
      <c r="H160" s="1" t="s">
        <v>12</v>
      </c>
      <c r="I160" s="1" t="s">
        <v>13</v>
      </c>
    </row>
    <row r="161" spans="1:9" x14ac:dyDescent="0.25">
      <c r="A161" s="1">
        <v>10619</v>
      </c>
      <c r="B161" s="2">
        <v>44905</v>
      </c>
      <c r="C161" s="1" t="s">
        <v>17</v>
      </c>
      <c r="D161" s="5">
        <v>4.99</v>
      </c>
      <c r="E161" s="18">
        <v>200.4</v>
      </c>
      <c r="F161" s="1" t="s">
        <v>10</v>
      </c>
      <c r="G161" s="1" t="s">
        <v>11</v>
      </c>
      <c r="H161" s="1" t="s">
        <v>12</v>
      </c>
      <c r="I161" s="1" t="s">
        <v>13</v>
      </c>
    </row>
    <row r="162" spans="1:9" x14ac:dyDescent="0.25">
      <c r="A162" s="1">
        <v>10620</v>
      </c>
      <c r="B162" s="2">
        <v>44906</v>
      </c>
      <c r="C162" s="1" t="s">
        <v>21</v>
      </c>
      <c r="D162" s="5">
        <v>12.99</v>
      </c>
      <c r="E162" s="18">
        <v>585.07000000000005</v>
      </c>
      <c r="F162" s="1" t="s">
        <v>10</v>
      </c>
      <c r="G162" s="1" t="s">
        <v>11</v>
      </c>
      <c r="H162" s="1" t="s">
        <v>12</v>
      </c>
      <c r="I162" s="1" t="s">
        <v>13</v>
      </c>
    </row>
    <row r="163" spans="1:9" x14ac:dyDescent="0.25">
      <c r="A163" s="1">
        <v>10621</v>
      </c>
      <c r="B163" s="2">
        <v>44906</v>
      </c>
      <c r="C163" s="1" t="s">
        <v>25</v>
      </c>
      <c r="D163" s="5">
        <v>9.9499999999999993</v>
      </c>
      <c r="E163" s="18">
        <v>201.01</v>
      </c>
      <c r="F163" s="1" t="s">
        <v>10</v>
      </c>
      <c r="G163" s="1" t="s">
        <v>11</v>
      </c>
      <c r="H163" s="1" t="s">
        <v>12</v>
      </c>
      <c r="I163" s="1" t="s">
        <v>13</v>
      </c>
    </row>
    <row r="164" spans="1:9" x14ac:dyDescent="0.25">
      <c r="A164" s="1">
        <v>10622</v>
      </c>
      <c r="B164" s="2">
        <v>44906</v>
      </c>
      <c r="C164" s="1" t="s">
        <v>9</v>
      </c>
      <c r="D164" s="5">
        <v>3.49</v>
      </c>
      <c r="E164" s="18">
        <v>630.37</v>
      </c>
      <c r="F164" s="1" t="s">
        <v>10</v>
      </c>
      <c r="G164" s="1" t="s">
        <v>11</v>
      </c>
      <c r="H164" s="1" t="s">
        <v>12</v>
      </c>
      <c r="I164" s="1" t="s">
        <v>13</v>
      </c>
    </row>
    <row r="165" spans="1:9" x14ac:dyDescent="0.25">
      <c r="A165" s="1">
        <v>10623</v>
      </c>
      <c r="B165" s="2">
        <v>44906</v>
      </c>
      <c r="C165" s="1" t="s">
        <v>14</v>
      </c>
      <c r="D165" s="5">
        <v>2.95</v>
      </c>
      <c r="E165" s="18">
        <v>745.76</v>
      </c>
      <c r="F165" s="1" t="s">
        <v>10</v>
      </c>
      <c r="G165" s="1" t="s">
        <v>11</v>
      </c>
      <c r="H165" s="1" t="s">
        <v>12</v>
      </c>
      <c r="I165" s="1" t="s">
        <v>13</v>
      </c>
    </row>
    <row r="166" spans="1:9" x14ac:dyDescent="0.25">
      <c r="A166" s="1">
        <v>10624</v>
      </c>
      <c r="B166" s="2">
        <v>44906</v>
      </c>
      <c r="C166" s="1" t="s">
        <v>17</v>
      </c>
      <c r="D166" s="5">
        <v>4.99</v>
      </c>
      <c r="E166" s="18">
        <v>200.4</v>
      </c>
      <c r="F166" s="1" t="s">
        <v>10</v>
      </c>
      <c r="G166" s="1" t="s">
        <v>11</v>
      </c>
      <c r="H166" s="1" t="s">
        <v>12</v>
      </c>
      <c r="I166" s="1" t="s">
        <v>13</v>
      </c>
    </row>
    <row r="167" spans="1:9" x14ac:dyDescent="0.25">
      <c r="A167" s="1">
        <v>10625</v>
      </c>
      <c r="B167" s="2">
        <v>44907</v>
      </c>
      <c r="C167" s="1" t="s">
        <v>21</v>
      </c>
      <c r="D167" s="5">
        <v>12.99</v>
      </c>
      <c r="E167" s="18">
        <v>569.66999999999996</v>
      </c>
      <c r="F167" s="1" t="s">
        <v>10</v>
      </c>
      <c r="G167" s="1" t="s">
        <v>11</v>
      </c>
      <c r="H167" s="1" t="s">
        <v>12</v>
      </c>
      <c r="I167" s="1" t="s">
        <v>13</v>
      </c>
    </row>
    <row r="168" spans="1:9" x14ac:dyDescent="0.25">
      <c r="A168" s="1">
        <v>10626</v>
      </c>
      <c r="B168" s="2">
        <v>44907</v>
      </c>
      <c r="C168" s="1" t="s">
        <v>25</v>
      </c>
      <c r="D168" s="5">
        <v>9.9499999999999993</v>
      </c>
      <c r="E168" s="18">
        <v>201.01</v>
      </c>
      <c r="F168" s="1" t="s">
        <v>10</v>
      </c>
      <c r="G168" s="1" t="s">
        <v>11</v>
      </c>
      <c r="H168" s="1" t="s">
        <v>12</v>
      </c>
      <c r="I168" s="1" t="s">
        <v>13</v>
      </c>
    </row>
    <row r="169" spans="1:9" x14ac:dyDescent="0.25">
      <c r="A169" s="1">
        <v>10627</v>
      </c>
      <c r="B169" s="2">
        <v>44907</v>
      </c>
      <c r="C169" s="1" t="s">
        <v>9</v>
      </c>
      <c r="D169" s="5">
        <v>3.49</v>
      </c>
      <c r="E169" s="18">
        <v>630.37</v>
      </c>
      <c r="F169" s="1" t="s">
        <v>10</v>
      </c>
      <c r="G169" s="1" t="s">
        <v>11</v>
      </c>
      <c r="H169" s="1" t="s">
        <v>12</v>
      </c>
      <c r="I169" s="1" t="s">
        <v>13</v>
      </c>
    </row>
    <row r="170" spans="1:9" x14ac:dyDescent="0.25">
      <c r="A170" s="1">
        <v>10628</v>
      </c>
      <c r="B170" s="2">
        <v>44907</v>
      </c>
      <c r="C170" s="1" t="s">
        <v>14</v>
      </c>
      <c r="D170" s="5">
        <v>2.95</v>
      </c>
      <c r="E170" s="18">
        <v>677.97</v>
      </c>
      <c r="F170" s="1" t="s">
        <v>10</v>
      </c>
      <c r="G170" s="1" t="s">
        <v>11</v>
      </c>
      <c r="H170" s="1" t="s">
        <v>19</v>
      </c>
      <c r="I170" s="1" t="s">
        <v>20</v>
      </c>
    </row>
    <row r="171" spans="1:9" x14ac:dyDescent="0.25">
      <c r="A171" s="1">
        <v>10629</v>
      </c>
      <c r="B171" s="2">
        <v>44907</v>
      </c>
      <c r="C171" s="1" t="s">
        <v>17</v>
      </c>
      <c r="D171" s="5">
        <v>4.99</v>
      </c>
      <c r="E171" s="18">
        <v>200.4</v>
      </c>
      <c r="F171" s="1" t="s">
        <v>10</v>
      </c>
      <c r="G171" s="1" t="s">
        <v>11</v>
      </c>
      <c r="H171" s="1" t="s">
        <v>19</v>
      </c>
      <c r="I171" s="1" t="s">
        <v>20</v>
      </c>
    </row>
    <row r="172" spans="1:9" x14ac:dyDescent="0.25">
      <c r="A172" s="1">
        <v>10630</v>
      </c>
      <c r="B172" s="2">
        <v>44908</v>
      </c>
      <c r="C172" s="1" t="s">
        <v>21</v>
      </c>
      <c r="D172" s="5">
        <v>12.99</v>
      </c>
      <c r="E172" s="18">
        <v>569.66999999999996</v>
      </c>
      <c r="F172" s="1" t="s">
        <v>10</v>
      </c>
      <c r="G172" s="1" t="s">
        <v>29</v>
      </c>
      <c r="H172" s="1" t="s">
        <v>19</v>
      </c>
      <c r="I172" s="1" t="s">
        <v>20</v>
      </c>
    </row>
    <row r="173" spans="1:9" x14ac:dyDescent="0.25">
      <c r="A173" s="1">
        <v>10631</v>
      </c>
      <c r="B173" s="2">
        <v>44908</v>
      </c>
      <c r="C173" s="1" t="s">
        <v>25</v>
      </c>
      <c r="D173" s="5">
        <v>9.9499999999999993</v>
      </c>
      <c r="E173" s="18">
        <v>201.01</v>
      </c>
      <c r="F173" s="1" t="s">
        <v>10</v>
      </c>
      <c r="G173" s="1" t="s">
        <v>11</v>
      </c>
      <c r="H173" s="1" t="s">
        <v>19</v>
      </c>
      <c r="I173" s="1" t="s">
        <v>20</v>
      </c>
    </row>
    <row r="174" spans="1:9" x14ac:dyDescent="0.25">
      <c r="A174" s="1">
        <v>10632</v>
      </c>
      <c r="B174" s="2">
        <v>44908</v>
      </c>
      <c r="C174" s="1" t="s">
        <v>9</v>
      </c>
      <c r="D174" s="5">
        <v>3.49</v>
      </c>
      <c r="E174" s="18">
        <v>630.37</v>
      </c>
      <c r="F174" s="1" t="s">
        <v>10</v>
      </c>
      <c r="G174" s="1" t="s">
        <v>11</v>
      </c>
      <c r="H174" s="1" t="s">
        <v>19</v>
      </c>
      <c r="I174" s="1" t="s">
        <v>20</v>
      </c>
    </row>
    <row r="175" spans="1:9" x14ac:dyDescent="0.25">
      <c r="A175" s="1">
        <v>10633</v>
      </c>
      <c r="B175" s="2">
        <v>44908</v>
      </c>
      <c r="C175" s="1" t="s">
        <v>14</v>
      </c>
      <c r="D175" s="5">
        <v>2.95</v>
      </c>
      <c r="E175" s="18">
        <v>677.97</v>
      </c>
      <c r="F175" s="1" t="s">
        <v>10</v>
      </c>
      <c r="G175" s="1" t="s">
        <v>11</v>
      </c>
      <c r="H175" s="1" t="s">
        <v>19</v>
      </c>
      <c r="I175" s="1" t="s">
        <v>20</v>
      </c>
    </row>
    <row r="176" spans="1:9" x14ac:dyDescent="0.25">
      <c r="A176" s="1">
        <v>10634</v>
      </c>
      <c r="B176" s="2">
        <v>44908</v>
      </c>
      <c r="C176" s="1" t="s">
        <v>17</v>
      </c>
      <c r="D176" s="5">
        <v>4.99</v>
      </c>
      <c r="E176" s="18">
        <v>200.4</v>
      </c>
      <c r="F176" s="1" t="s">
        <v>10</v>
      </c>
      <c r="G176" s="1" t="s">
        <v>11</v>
      </c>
      <c r="H176" s="1" t="s">
        <v>19</v>
      </c>
      <c r="I176" s="1" t="s">
        <v>20</v>
      </c>
    </row>
    <row r="177" spans="1:9" x14ac:dyDescent="0.25">
      <c r="A177" s="1">
        <v>10635</v>
      </c>
      <c r="B177" s="2">
        <v>44909</v>
      </c>
      <c r="C177" s="1" t="s">
        <v>21</v>
      </c>
      <c r="D177" s="5">
        <v>12.99</v>
      </c>
      <c r="E177" s="18">
        <v>554.27</v>
      </c>
      <c r="F177" s="1" t="s">
        <v>10</v>
      </c>
      <c r="G177" s="1" t="s">
        <v>11</v>
      </c>
      <c r="H177" s="1" t="s">
        <v>19</v>
      </c>
      <c r="I177" s="1" t="s">
        <v>20</v>
      </c>
    </row>
    <row r="178" spans="1:9" x14ac:dyDescent="0.25">
      <c r="A178" s="1">
        <v>10636</v>
      </c>
      <c r="B178" s="2">
        <v>44909</v>
      </c>
      <c r="C178" s="1" t="s">
        <v>25</v>
      </c>
      <c r="D178" s="5">
        <v>9.9499999999999993</v>
      </c>
      <c r="E178" s="18">
        <v>221.11</v>
      </c>
      <c r="F178" s="1" t="s">
        <v>10</v>
      </c>
      <c r="G178" s="1" t="s">
        <v>11</v>
      </c>
      <c r="H178" s="1" t="s">
        <v>19</v>
      </c>
      <c r="I178" s="1" t="s">
        <v>20</v>
      </c>
    </row>
    <row r="179" spans="1:9" x14ac:dyDescent="0.25">
      <c r="A179" s="1">
        <v>10637</v>
      </c>
      <c r="B179" s="2">
        <v>44909</v>
      </c>
      <c r="C179" s="1" t="s">
        <v>9</v>
      </c>
      <c r="D179" s="5">
        <v>3.49</v>
      </c>
      <c r="E179" s="18">
        <v>630.37</v>
      </c>
      <c r="F179" s="1" t="s">
        <v>10</v>
      </c>
      <c r="G179" s="1" t="s">
        <v>11</v>
      </c>
      <c r="H179" s="1" t="s">
        <v>19</v>
      </c>
      <c r="I179" s="1" t="s">
        <v>20</v>
      </c>
    </row>
    <row r="180" spans="1:9" x14ac:dyDescent="0.25">
      <c r="A180" s="1">
        <v>10638</v>
      </c>
      <c r="B180" s="2">
        <v>44909</v>
      </c>
      <c r="C180" s="1" t="s">
        <v>14</v>
      </c>
      <c r="D180" s="5">
        <v>2.95</v>
      </c>
      <c r="E180" s="18">
        <v>677.97</v>
      </c>
      <c r="F180" s="1" t="s">
        <v>10</v>
      </c>
      <c r="G180" s="1" t="s">
        <v>11</v>
      </c>
      <c r="H180" s="1" t="s">
        <v>19</v>
      </c>
      <c r="I180" s="1" t="s">
        <v>20</v>
      </c>
    </row>
    <row r="181" spans="1:9" x14ac:dyDescent="0.25">
      <c r="A181" s="1">
        <v>10639</v>
      </c>
      <c r="B181" s="2">
        <v>44909</v>
      </c>
      <c r="C181" s="1" t="s">
        <v>17</v>
      </c>
      <c r="D181" s="5">
        <v>4.99</v>
      </c>
      <c r="E181" s="18">
        <v>200.4</v>
      </c>
      <c r="F181" s="1" t="s">
        <v>10</v>
      </c>
      <c r="G181" s="1" t="s">
        <v>11</v>
      </c>
      <c r="H181" s="1" t="s">
        <v>19</v>
      </c>
      <c r="I181" s="1" t="s">
        <v>20</v>
      </c>
    </row>
    <row r="182" spans="1:9" x14ac:dyDescent="0.25">
      <c r="A182" s="1">
        <v>10640</v>
      </c>
      <c r="B182" s="2">
        <v>44910</v>
      </c>
      <c r="C182" s="1" t="s">
        <v>21</v>
      </c>
      <c r="D182" s="5">
        <v>12.99</v>
      </c>
      <c r="E182" s="18">
        <v>538.88</v>
      </c>
      <c r="F182" s="1" t="s">
        <v>10</v>
      </c>
      <c r="G182" s="1" t="s">
        <v>11</v>
      </c>
      <c r="H182" s="1" t="s">
        <v>19</v>
      </c>
      <c r="I182" s="1" t="s">
        <v>20</v>
      </c>
    </row>
    <row r="183" spans="1:9" x14ac:dyDescent="0.25">
      <c r="A183" s="1">
        <v>10641</v>
      </c>
      <c r="B183" s="2">
        <v>44910</v>
      </c>
      <c r="C183" s="1" t="s">
        <v>25</v>
      </c>
      <c r="D183" s="5">
        <v>9.9499999999999993</v>
      </c>
      <c r="E183" s="18">
        <v>221.11</v>
      </c>
      <c r="F183" s="1" t="s">
        <v>10</v>
      </c>
      <c r="G183" s="1" t="s">
        <v>11</v>
      </c>
      <c r="H183" s="1" t="s">
        <v>19</v>
      </c>
      <c r="I183" s="1" t="s">
        <v>20</v>
      </c>
    </row>
    <row r="184" spans="1:9" x14ac:dyDescent="0.25">
      <c r="A184" s="1">
        <v>10642</v>
      </c>
      <c r="B184" s="2">
        <v>44910</v>
      </c>
      <c r="C184" s="1" t="s">
        <v>9</v>
      </c>
      <c r="D184" s="5">
        <v>3.49</v>
      </c>
      <c r="E184" s="18">
        <v>630.37</v>
      </c>
      <c r="F184" s="1" t="s">
        <v>10</v>
      </c>
      <c r="G184" s="1" t="s">
        <v>29</v>
      </c>
      <c r="H184" s="1" t="s">
        <v>19</v>
      </c>
      <c r="I184" s="1" t="s">
        <v>20</v>
      </c>
    </row>
    <row r="185" spans="1:9" x14ac:dyDescent="0.25">
      <c r="A185" s="1">
        <v>10643</v>
      </c>
      <c r="B185" s="2">
        <v>44910</v>
      </c>
      <c r="C185" s="1" t="s">
        <v>14</v>
      </c>
      <c r="D185" s="5">
        <v>2.95</v>
      </c>
      <c r="E185" s="18">
        <v>677.97</v>
      </c>
      <c r="F185" s="1" t="s">
        <v>10</v>
      </c>
      <c r="G185" s="1" t="s">
        <v>29</v>
      </c>
      <c r="H185" s="1" t="s">
        <v>19</v>
      </c>
      <c r="I185" s="1" t="s">
        <v>20</v>
      </c>
    </row>
    <row r="186" spans="1:9" x14ac:dyDescent="0.25">
      <c r="A186" s="1">
        <v>10644</v>
      </c>
      <c r="B186" s="2">
        <v>44910</v>
      </c>
      <c r="C186" s="1" t="s">
        <v>17</v>
      </c>
      <c r="D186" s="5">
        <v>4.99</v>
      </c>
      <c r="E186" s="18">
        <v>200.4</v>
      </c>
      <c r="F186" s="1" t="s">
        <v>10</v>
      </c>
      <c r="G186" s="1" t="s">
        <v>29</v>
      </c>
      <c r="H186" s="1" t="s">
        <v>19</v>
      </c>
      <c r="I186" s="1" t="s">
        <v>20</v>
      </c>
    </row>
    <row r="187" spans="1:9" x14ac:dyDescent="0.25">
      <c r="A187" s="1">
        <v>10645</v>
      </c>
      <c r="B187" s="2">
        <v>44911</v>
      </c>
      <c r="C187" s="1" t="s">
        <v>21</v>
      </c>
      <c r="D187" s="5">
        <v>12.99</v>
      </c>
      <c r="E187" s="18">
        <v>569.66999999999996</v>
      </c>
      <c r="F187" s="1" t="s">
        <v>10</v>
      </c>
      <c r="G187" s="1" t="s">
        <v>29</v>
      </c>
      <c r="H187" s="1" t="s">
        <v>19</v>
      </c>
      <c r="I187" s="1" t="s">
        <v>20</v>
      </c>
    </row>
    <row r="188" spans="1:9" x14ac:dyDescent="0.25">
      <c r="A188" s="1">
        <v>10646</v>
      </c>
      <c r="B188" s="2">
        <v>44911</v>
      </c>
      <c r="C188" s="1" t="s">
        <v>25</v>
      </c>
      <c r="D188" s="5">
        <v>9.9499999999999993</v>
      </c>
      <c r="E188" s="18">
        <v>221.11</v>
      </c>
      <c r="F188" s="1" t="s">
        <v>10</v>
      </c>
      <c r="G188" s="1" t="s">
        <v>29</v>
      </c>
      <c r="H188" s="1" t="s">
        <v>19</v>
      </c>
      <c r="I188" s="1" t="s">
        <v>20</v>
      </c>
    </row>
    <row r="189" spans="1:9" x14ac:dyDescent="0.25">
      <c r="A189" s="1">
        <v>10647</v>
      </c>
      <c r="B189" s="2">
        <v>44911</v>
      </c>
      <c r="C189" s="1" t="s">
        <v>9</v>
      </c>
      <c r="D189" s="5">
        <v>3.49</v>
      </c>
      <c r="E189" s="18">
        <v>630.37</v>
      </c>
      <c r="F189" s="1" t="s">
        <v>10</v>
      </c>
      <c r="G189" s="1" t="s">
        <v>11</v>
      </c>
      <c r="H189" s="1" t="s">
        <v>19</v>
      </c>
      <c r="I189" s="1" t="s">
        <v>20</v>
      </c>
    </row>
    <row r="190" spans="1:9" x14ac:dyDescent="0.25">
      <c r="A190" s="1">
        <v>10648</v>
      </c>
      <c r="B190" s="2">
        <v>44911</v>
      </c>
      <c r="C190" s="1" t="s">
        <v>14</v>
      </c>
      <c r="D190" s="5">
        <v>2.95</v>
      </c>
      <c r="E190" s="18">
        <v>745.76</v>
      </c>
      <c r="F190" s="1" t="s">
        <v>10</v>
      </c>
      <c r="G190" s="1" t="s">
        <v>11</v>
      </c>
      <c r="H190" s="1" t="s">
        <v>19</v>
      </c>
      <c r="I190" s="1" t="s">
        <v>20</v>
      </c>
    </row>
    <row r="191" spans="1:9" x14ac:dyDescent="0.25">
      <c r="A191" s="1">
        <v>10649</v>
      </c>
      <c r="B191" s="2">
        <v>44911</v>
      </c>
      <c r="C191" s="1" t="s">
        <v>17</v>
      </c>
      <c r="D191" s="5">
        <v>4.99</v>
      </c>
      <c r="E191" s="18">
        <v>200.4</v>
      </c>
      <c r="F191" s="1" t="s">
        <v>10</v>
      </c>
      <c r="G191" s="1" t="s">
        <v>11</v>
      </c>
      <c r="H191" s="1" t="s">
        <v>19</v>
      </c>
      <c r="I191" s="1" t="s">
        <v>20</v>
      </c>
    </row>
    <row r="192" spans="1:9" x14ac:dyDescent="0.25">
      <c r="A192" s="1">
        <v>10650</v>
      </c>
      <c r="B192" s="2">
        <v>44912</v>
      </c>
      <c r="C192" s="1" t="s">
        <v>21</v>
      </c>
      <c r="D192" s="5">
        <v>12.99</v>
      </c>
      <c r="E192" s="18">
        <v>585.07000000000005</v>
      </c>
      <c r="F192" s="1" t="s">
        <v>10</v>
      </c>
      <c r="G192" s="1" t="s">
        <v>11</v>
      </c>
      <c r="H192" s="1" t="s">
        <v>19</v>
      </c>
      <c r="I192" s="1" t="s">
        <v>20</v>
      </c>
    </row>
    <row r="193" spans="1:9" x14ac:dyDescent="0.25">
      <c r="A193" s="1">
        <v>10651</v>
      </c>
      <c r="B193" s="2">
        <v>44912</v>
      </c>
      <c r="C193" s="1" t="s">
        <v>25</v>
      </c>
      <c r="D193" s="5">
        <v>9.9499999999999993</v>
      </c>
      <c r="E193" s="18">
        <v>221.11</v>
      </c>
      <c r="F193" s="1" t="s">
        <v>10</v>
      </c>
      <c r="G193" s="1" t="s">
        <v>11</v>
      </c>
      <c r="H193" s="1" t="s">
        <v>19</v>
      </c>
      <c r="I193" s="1" t="s">
        <v>20</v>
      </c>
    </row>
    <row r="194" spans="1:9" x14ac:dyDescent="0.25">
      <c r="A194" s="1">
        <v>10652</v>
      </c>
      <c r="B194" s="2">
        <v>44912</v>
      </c>
      <c r="C194" s="1" t="s">
        <v>9</v>
      </c>
      <c r="D194" s="5">
        <v>3.49</v>
      </c>
      <c r="E194" s="18">
        <v>687.68</v>
      </c>
      <c r="F194" s="1" t="s">
        <v>10</v>
      </c>
      <c r="G194" s="1" t="s">
        <v>11</v>
      </c>
      <c r="H194" s="1" t="s">
        <v>19</v>
      </c>
      <c r="I194" s="1" t="s">
        <v>20</v>
      </c>
    </row>
    <row r="195" spans="1:9" x14ac:dyDescent="0.25">
      <c r="A195" s="1">
        <v>10653</v>
      </c>
      <c r="B195" s="2">
        <v>44912</v>
      </c>
      <c r="C195" s="1" t="s">
        <v>14</v>
      </c>
      <c r="D195" s="5">
        <v>2.95</v>
      </c>
      <c r="E195" s="18">
        <v>745.76</v>
      </c>
      <c r="F195" s="1" t="s">
        <v>10</v>
      </c>
      <c r="G195" s="1" t="s">
        <v>11</v>
      </c>
      <c r="H195" s="1" t="s">
        <v>19</v>
      </c>
      <c r="I195" s="1" t="s">
        <v>20</v>
      </c>
    </row>
    <row r="196" spans="1:9" x14ac:dyDescent="0.25">
      <c r="A196" s="1">
        <v>10654</v>
      </c>
      <c r="B196" s="2">
        <v>44912</v>
      </c>
      <c r="C196" s="1" t="s">
        <v>17</v>
      </c>
      <c r="D196" s="5">
        <v>4.99</v>
      </c>
      <c r="E196" s="18">
        <v>200.4</v>
      </c>
      <c r="F196" s="1" t="s">
        <v>10</v>
      </c>
      <c r="G196" s="1" t="s">
        <v>11</v>
      </c>
      <c r="H196" s="1" t="s">
        <v>19</v>
      </c>
      <c r="I196" s="1" t="s">
        <v>20</v>
      </c>
    </row>
    <row r="197" spans="1:9" x14ac:dyDescent="0.25">
      <c r="A197" s="1">
        <v>10655</v>
      </c>
      <c r="B197" s="2">
        <v>44913</v>
      </c>
      <c r="C197" s="1" t="s">
        <v>21</v>
      </c>
      <c r="D197" s="5">
        <v>12.99</v>
      </c>
      <c r="E197" s="18">
        <v>600.46</v>
      </c>
      <c r="F197" s="1" t="s">
        <v>10</v>
      </c>
      <c r="G197" s="1" t="s">
        <v>11</v>
      </c>
      <c r="H197" s="1" t="s">
        <v>19</v>
      </c>
      <c r="I197" s="1" t="s">
        <v>20</v>
      </c>
    </row>
    <row r="198" spans="1:9" x14ac:dyDescent="0.25">
      <c r="A198" s="1">
        <v>10656</v>
      </c>
      <c r="B198" s="2">
        <v>44913</v>
      </c>
      <c r="C198" s="1" t="s">
        <v>25</v>
      </c>
      <c r="D198" s="5">
        <v>9.9499999999999993</v>
      </c>
      <c r="E198" s="18">
        <v>221.11</v>
      </c>
      <c r="F198" s="1" t="s">
        <v>10</v>
      </c>
      <c r="G198" s="1" t="s">
        <v>11</v>
      </c>
      <c r="H198" s="1" t="s">
        <v>19</v>
      </c>
      <c r="I198" s="1" t="s">
        <v>20</v>
      </c>
    </row>
    <row r="199" spans="1:9" x14ac:dyDescent="0.25">
      <c r="A199" s="1">
        <v>10657</v>
      </c>
      <c r="B199" s="2">
        <v>44913</v>
      </c>
      <c r="C199" s="1" t="s">
        <v>9</v>
      </c>
      <c r="D199" s="5">
        <v>3.49</v>
      </c>
      <c r="E199" s="18">
        <v>687.68</v>
      </c>
      <c r="F199" s="1" t="s">
        <v>10</v>
      </c>
      <c r="G199" s="1" t="s">
        <v>11</v>
      </c>
      <c r="H199" s="1" t="s">
        <v>19</v>
      </c>
      <c r="I199" s="1" t="s">
        <v>20</v>
      </c>
    </row>
    <row r="200" spans="1:9" x14ac:dyDescent="0.25">
      <c r="A200" s="1">
        <v>10658</v>
      </c>
      <c r="B200" s="2">
        <v>44913</v>
      </c>
      <c r="C200" s="1" t="s">
        <v>14</v>
      </c>
      <c r="D200" s="5">
        <v>2.95</v>
      </c>
      <c r="E200" s="18">
        <v>745.76</v>
      </c>
      <c r="F200" s="1" t="s">
        <v>10</v>
      </c>
      <c r="G200" s="1" t="s">
        <v>29</v>
      </c>
      <c r="H200" s="1" t="s">
        <v>19</v>
      </c>
      <c r="I200" s="1" t="s">
        <v>20</v>
      </c>
    </row>
    <row r="201" spans="1:9" x14ac:dyDescent="0.25">
      <c r="A201" s="1">
        <v>10659</v>
      </c>
      <c r="B201" s="2">
        <v>44913</v>
      </c>
      <c r="C201" s="1" t="s">
        <v>17</v>
      </c>
      <c r="D201" s="5">
        <v>4.99</v>
      </c>
      <c r="E201" s="18">
        <v>200.4</v>
      </c>
      <c r="F201" s="1" t="s">
        <v>10</v>
      </c>
      <c r="G201" s="1" t="s">
        <v>29</v>
      </c>
      <c r="H201" s="1" t="s">
        <v>19</v>
      </c>
      <c r="I201" s="1" t="s">
        <v>20</v>
      </c>
    </row>
    <row r="202" spans="1:9" x14ac:dyDescent="0.25">
      <c r="A202" s="1">
        <v>10660</v>
      </c>
      <c r="B202" s="2">
        <v>44914</v>
      </c>
      <c r="C202" s="1" t="s">
        <v>21</v>
      </c>
      <c r="D202" s="5">
        <v>12.99</v>
      </c>
      <c r="E202" s="18">
        <v>631.25</v>
      </c>
      <c r="F202" s="1" t="s">
        <v>18</v>
      </c>
      <c r="G202" s="1" t="s">
        <v>29</v>
      </c>
      <c r="H202" s="1" t="s">
        <v>19</v>
      </c>
      <c r="I202" s="1" t="s">
        <v>20</v>
      </c>
    </row>
    <row r="203" spans="1:9" x14ac:dyDescent="0.25">
      <c r="A203" s="1">
        <v>10661</v>
      </c>
      <c r="B203" s="2">
        <v>44914</v>
      </c>
      <c r="C203" s="1" t="s">
        <v>25</v>
      </c>
      <c r="D203" s="5">
        <v>9.9499999999999993</v>
      </c>
      <c r="E203" s="18">
        <v>221.11</v>
      </c>
      <c r="F203" s="1" t="s">
        <v>18</v>
      </c>
      <c r="G203" s="1" t="s">
        <v>29</v>
      </c>
      <c r="H203" s="1" t="s">
        <v>19</v>
      </c>
      <c r="I203" s="1" t="s">
        <v>20</v>
      </c>
    </row>
    <row r="204" spans="1:9" x14ac:dyDescent="0.25">
      <c r="A204" s="1">
        <v>10662</v>
      </c>
      <c r="B204" s="2">
        <v>44914</v>
      </c>
      <c r="C204" s="1" t="s">
        <v>9</v>
      </c>
      <c r="D204" s="5">
        <v>3.49</v>
      </c>
      <c r="E204" s="18">
        <v>630.37</v>
      </c>
      <c r="F204" s="1" t="s">
        <v>18</v>
      </c>
      <c r="G204" s="1" t="s">
        <v>29</v>
      </c>
      <c r="H204" s="1" t="s">
        <v>19</v>
      </c>
      <c r="I204" s="1" t="s">
        <v>20</v>
      </c>
    </row>
    <row r="205" spans="1:9" x14ac:dyDescent="0.25">
      <c r="A205" s="1">
        <v>10663</v>
      </c>
      <c r="B205" s="2">
        <v>44914</v>
      </c>
      <c r="C205" s="1" t="s">
        <v>14</v>
      </c>
      <c r="D205" s="5">
        <v>2.95</v>
      </c>
      <c r="E205" s="18">
        <v>745.76</v>
      </c>
      <c r="F205" s="1" t="s">
        <v>18</v>
      </c>
      <c r="G205" s="1" t="s">
        <v>29</v>
      </c>
      <c r="H205" s="1" t="s">
        <v>19</v>
      </c>
      <c r="I205" s="1" t="s">
        <v>20</v>
      </c>
    </row>
    <row r="206" spans="1:9" x14ac:dyDescent="0.25">
      <c r="A206" s="1">
        <v>10664</v>
      </c>
      <c r="B206" s="2">
        <v>44914</v>
      </c>
      <c r="C206" s="1" t="s">
        <v>17</v>
      </c>
      <c r="D206" s="5">
        <v>4.99</v>
      </c>
      <c r="E206" s="18">
        <v>200.4</v>
      </c>
      <c r="F206" s="1" t="s">
        <v>18</v>
      </c>
      <c r="G206" s="1" t="s">
        <v>29</v>
      </c>
      <c r="H206" s="1" t="s">
        <v>19</v>
      </c>
      <c r="I206" s="1" t="s">
        <v>20</v>
      </c>
    </row>
    <row r="207" spans="1:9" x14ac:dyDescent="0.25">
      <c r="A207" s="1">
        <v>10665</v>
      </c>
      <c r="B207" s="2">
        <v>44915</v>
      </c>
      <c r="C207" s="1" t="s">
        <v>21</v>
      </c>
      <c r="D207" s="5">
        <v>12.99</v>
      </c>
      <c r="E207" s="18">
        <v>646.65</v>
      </c>
      <c r="F207" s="1" t="s">
        <v>18</v>
      </c>
      <c r="G207" s="1" t="s">
        <v>29</v>
      </c>
      <c r="H207" s="1" t="s">
        <v>19</v>
      </c>
      <c r="I207" s="1" t="s">
        <v>20</v>
      </c>
    </row>
    <row r="208" spans="1:9" x14ac:dyDescent="0.25">
      <c r="A208" s="1">
        <v>10666</v>
      </c>
      <c r="B208" s="2">
        <v>44915</v>
      </c>
      <c r="C208" s="1" t="s">
        <v>25</v>
      </c>
      <c r="D208" s="5">
        <v>9.9499999999999993</v>
      </c>
      <c r="E208" s="18">
        <v>221.11</v>
      </c>
      <c r="F208" s="1" t="s">
        <v>18</v>
      </c>
      <c r="G208" s="1" t="s">
        <v>29</v>
      </c>
      <c r="H208" s="1" t="s">
        <v>19</v>
      </c>
      <c r="I208" s="1" t="s">
        <v>20</v>
      </c>
    </row>
    <row r="209" spans="1:9" x14ac:dyDescent="0.25">
      <c r="A209" s="1">
        <v>10667</v>
      </c>
      <c r="B209" s="2">
        <v>44915</v>
      </c>
      <c r="C209" s="1" t="s">
        <v>9</v>
      </c>
      <c r="D209" s="5">
        <v>3.49</v>
      </c>
      <c r="E209" s="18">
        <v>630.37</v>
      </c>
      <c r="F209" s="1" t="s">
        <v>18</v>
      </c>
      <c r="G209" s="1" t="s">
        <v>29</v>
      </c>
      <c r="H209" s="1" t="s">
        <v>19</v>
      </c>
      <c r="I209" s="1" t="s">
        <v>20</v>
      </c>
    </row>
    <row r="210" spans="1:9" x14ac:dyDescent="0.25">
      <c r="A210" s="1">
        <v>10668</v>
      </c>
      <c r="B210" s="2">
        <v>44915</v>
      </c>
      <c r="C210" s="1" t="s">
        <v>14</v>
      </c>
      <c r="D210" s="5">
        <v>2.95</v>
      </c>
      <c r="E210" s="18">
        <v>745.76</v>
      </c>
      <c r="F210" s="1" t="s">
        <v>18</v>
      </c>
      <c r="G210" s="1" t="s">
        <v>29</v>
      </c>
      <c r="H210" s="1" t="s">
        <v>19</v>
      </c>
      <c r="I210" s="1" t="s">
        <v>20</v>
      </c>
    </row>
    <row r="211" spans="1:9" x14ac:dyDescent="0.25">
      <c r="A211" s="1">
        <v>10669</v>
      </c>
      <c r="B211" s="2">
        <v>44915</v>
      </c>
      <c r="C211" s="1" t="s">
        <v>17</v>
      </c>
      <c r="D211" s="5">
        <v>4.99</v>
      </c>
      <c r="E211" s="18">
        <v>200.4</v>
      </c>
      <c r="F211" s="1" t="s">
        <v>18</v>
      </c>
      <c r="G211" s="1" t="s">
        <v>29</v>
      </c>
      <c r="H211" s="1" t="s">
        <v>19</v>
      </c>
      <c r="I211" s="1" t="s">
        <v>20</v>
      </c>
    </row>
    <row r="212" spans="1:9" x14ac:dyDescent="0.25">
      <c r="A212" s="1">
        <v>10670</v>
      </c>
      <c r="B212" s="2">
        <v>44916</v>
      </c>
      <c r="C212" s="1" t="s">
        <v>21</v>
      </c>
      <c r="D212" s="5">
        <v>12.99</v>
      </c>
      <c r="E212" s="18">
        <v>677.44</v>
      </c>
      <c r="F212" s="1" t="s">
        <v>18</v>
      </c>
      <c r="G212" s="1" t="s">
        <v>29</v>
      </c>
      <c r="H212" s="1" t="s">
        <v>19</v>
      </c>
      <c r="I212" s="1" t="s">
        <v>20</v>
      </c>
    </row>
    <row r="213" spans="1:9" x14ac:dyDescent="0.25">
      <c r="A213" s="1">
        <v>10671</v>
      </c>
      <c r="B213" s="2">
        <v>44916</v>
      </c>
      <c r="C213" s="1" t="s">
        <v>25</v>
      </c>
      <c r="D213" s="5">
        <v>9.9499999999999993</v>
      </c>
      <c r="E213" s="18">
        <v>221.11</v>
      </c>
      <c r="F213" s="1" t="s">
        <v>18</v>
      </c>
      <c r="G213" s="1" t="s">
        <v>29</v>
      </c>
      <c r="H213" s="1" t="s">
        <v>19</v>
      </c>
      <c r="I213" s="1" t="s">
        <v>20</v>
      </c>
    </row>
    <row r="214" spans="1:9" x14ac:dyDescent="0.25">
      <c r="A214" s="1">
        <v>10672</v>
      </c>
      <c r="B214" s="2">
        <v>44916</v>
      </c>
      <c r="C214" s="1" t="s">
        <v>9</v>
      </c>
      <c r="D214" s="5">
        <v>3.49</v>
      </c>
      <c r="E214" s="18">
        <v>630.37</v>
      </c>
      <c r="F214" s="1" t="s">
        <v>18</v>
      </c>
      <c r="G214" s="1" t="s">
        <v>29</v>
      </c>
      <c r="H214" s="1" t="s">
        <v>19</v>
      </c>
      <c r="I214" s="1" t="s">
        <v>20</v>
      </c>
    </row>
    <row r="215" spans="1:9" x14ac:dyDescent="0.25">
      <c r="A215" s="1">
        <v>10673</v>
      </c>
      <c r="B215" s="2">
        <v>44916</v>
      </c>
      <c r="C215" s="1" t="s">
        <v>14</v>
      </c>
      <c r="D215" s="5">
        <v>2.95</v>
      </c>
      <c r="E215" s="18">
        <v>745.76</v>
      </c>
      <c r="F215" s="1" t="s">
        <v>18</v>
      </c>
      <c r="G215" s="1" t="s">
        <v>29</v>
      </c>
      <c r="H215" s="1" t="s">
        <v>19</v>
      </c>
      <c r="I215" s="1" t="s">
        <v>20</v>
      </c>
    </row>
    <row r="216" spans="1:9" x14ac:dyDescent="0.25">
      <c r="A216" s="1">
        <v>10674</v>
      </c>
      <c r="B216" s="2">
        <v>44916</v>
      </c>
      <c r="C216" s="1" t="s">
        <v>17</v>
      </c>
      <c r="D216" s="5">
        <v>4.99</v>
      </c>
      <c r="E216" s="18">
        <v>200.4</v>
      </c>
      <c r="F216" s="1" t="s">
        <v>18</v>
      </c>
      <c r="G216" s="1" t="s">
        <v>29</v>
      </c>
      <c r="H216" s="1" t="s">
        <v>19</v>
      </c>
      <c r="I216" s="1" t="s">
        <v>20</v>
      </c>
    </row>
    <row r="217" spans="1:9" x14ac:dyDescent="0.25">
      <c r="A217" s="1">
        <v>10675</v>
      </c>
      <c r="B217" s="2">
        <v>44917</v>
      </c>
      <c r="C217" s="1" t="s">
        <v>21</v>
      </c>
      <c r="D217" s="5">
        <v>12.99</v>
      </c>
      <c r="E217" s="18">
        <v>677.44</v>
      </c>
      <c r="F217" s="1" t="s">
        <v>18</v>
      </c>
      <c r="G217" s="1" t="s">
        <v>29</v>
      </c>
      <c r="H217" s="1" t="s">
        <v>19</v>
      </c>
      <c r="I217" s="1" t="s">
        <v>20</v>
      </c>
    </row>
    <row r="218" spans="1:9" x14ac:dyDescent="0.25">
      <c r="A218" s="1">
        <v>10676</v>
      </c>
      <c r="B218" s="2">
        <v>44917</v>
      </c>
      <c r="C218" s="1" t="s">
        <v>25</v>
      </c>
      <c r="D218" s="5">
        <v>9.9499999999999993</v>
      </c>
      <c r="E218" s="18">
        <v>241.21</v>
      </c>
      <c r="F218" s="1" t="s">
        <v>18</v>
      </c>
      <c r="G218" s="1" t="s">
        <v>29</v>
      </c>
      <c r="H218" s="1" t="s">
        <v>19</v>
      </c>
      <c r="I218" s="1" t="s">
        <v>20</v>
      </c>
    </row>
    <row r="219" spans="1:9" x14ac:dyDescent="0.25">
      <c r="A219" s="1">
        <v>10677</v>
      </c>
      <c r="B219" s="2">
        <v>44917</v>
      </c>
      <c r="C219" s="1" t="s">
        <v>9</v>
      </c>
      <c r="D219" s="5">
        <v>3.49</v>
      </c>
      <c r="E219" s="18">
        <v>630.37</v>
      </c>
      <c r="F219" s="1" t="s">
        <v>18</v>
      </c>
      <c r="G219" s="1" t="s">
        <v>29</v>
      </c>
      <c r="H219" s="1" t="s">
        <v>19</v>
      </c>
      <c r="I219" s="1" t="s">
        <v>20</v>
      </c>
    </row>
    <row r="220" spans="1:9" x14ac:dyDescent="0.25">
      <c r="A220" s="1">
        <v>10678</v>
      </c>
      <c r="B220" s="2">
        <v>44917</v>
      </c>
      <c r="C220" s="1" t="s">
        <v>14</v>
      </c>
      <c r="D220" s="5">
        <v>2.95</v>
      </c>
      <c r="E220" s="18">
        <v>745.76</v>
      </c>
      <c r="F220" s="1" t="s">
        <v>18</v>
      </c>
      <c r="G220" s="1" t="s">
        <v>29</v>
      </c>
      <c r="H220" s="1" t="s">
        <v>19</v>
      </c>
      <c r="I220" s="1" t="s">
        <v>20</v>
      </c>
    </row>
    <row r="221" spans="1:9" x14ac:dyDescent="0.25">
      <c r="A221" s="1">
        <v>10679</v>
      </c>
      <c r="B221" s="2">
        <v>44917</v>
      </c>
      <c r="C221" s="1" t="s">
        <v>17</v>
      </c>
      <c r="D221" s="5">
        <v>4.99</v>
      </c>
      <c r="E221" s="18">
        <v>200.4</v>
      </c>
      <c r="F221" s="1" t="s">
        <v>18</v>
      </c>
      <c r="G221" s="1" t="s">
        <v>29</v>
      </c>
      <c r="H221" s="1" t="s">
        <v>19</v>
      </c>
      <c r="I221" s="1" t="s">
        <v>20</v>
      </c>
    </row>
    <row r="222" spans="1:9" x14ac:dyDescent="0.25">
      <c r="A222" s="1">
        <v>10680</v>
      </c>
      <c r="B222" s="2">
        <v>44918</v>
      </c>
      <c r="C222" s="1" t="s">
        <v>21</v>
      </c>
      <c r="D222" s="5">
        <v>12.99</v>
      </c>
      <c r="E222" s="18">
        <v>646.65</v>
      </c>
      <c r="F222" s="1" t="s">
        <v>18</v>
      </c>
      <c r="G222" s="1" t="s">
        <v>29</v>
      </c>
      <c r="H222" s="1" t="s">
        <v>19</v>
      </c>
      <c r="I222" s="1" t="s">
        <v>20</v>
      </c>
    </row>
    <row r="223" spans="1:9" x14ac:dyDescent="0.25">
      <c r="A223" s="1">
        <v>10681</v>
      </c>
      <c r="B223" s="2">
        <v>44918</v>
      </c>
      <c r="C223" s="1" t="s">
        <v>25</v>
      </c>
      <c r="D223" s="5">
        <v>9.9499999999999993</v>
      </c>
      <c r="E223" s="18">
        <v>241.21</v>
      </c>
      <c r="F223" s="1" t="s">
        <v>18</v>
      </c>
      <c r="G223" s="1" t="s">
        <v>29</v>
      </c>
      <c r="H223" s="1" t="s">
        <v>19</v>
      </c>
      <c r="I223" s="1" t="s">
        <v>20</v>
      </c>
    </row>
    <row r="224" spans="1:9" x14ac:dyDescent="0.25">
      <c r="A224" s="1">
        <v>10682</v>
      </c>
      <c r="B224" s="2">
        <v>44918</v>
      </c>
      <c r="C224" s="1" t="s">
        <v>9</v>
      </c>
      <c r="D224" s="5">
        <v>3.49</v>
      </c>
      <c r="E224" s="18">
        <v>630.37</v>
      </c>
      <c r="F224" s="1" t="s">
        <v>18</v>
      </c>
      <c r="G224" s="1" t="s">
        <v>29</v>
      </c>
      <c r="H224" s="1" t="s">
        <v>19</v>
      </c>
      <c r="I224" s="1" t="s">
        <v>20</v>
      </c>
    </row>
    <row r="225" spans="1:9" x14ac:dyDescent="0.25">
      <c r="A225" s="1">
        <v>10683</v>
      </c>
      <c r="B225" s="2">
        <v>44918</v>
      </c>
      <c r="C225" s="1" t="s">
        <v>14</v>
      </c>
      <c r="D225" s="5">
        <v>2.95</v>
      </c>
      <c r="E225" s="18">
        <v>677.97</v>
      </c>
      <c r="F225" s="1" t="s">
        <v>18</v>
      </c>
      <c r="G225" s="1" t="s">
        <v>29</v>
      </c>
      <c r="H225" s="1" t="s">
        <v>19</v>
      </c>
      <c r="I225" s="1" t="s">
        <v>20</v>
      </c>
    </row>
    <row r="226" spans="1:9" x14ac:dyDescent="0.25">
      <c r="A226" s="1">
        <v>10684</v>
      </c>
      <c r="B226" s="2">
        <v>44918</v>
      </c>
      <c r="C226" s="1" t="s">
        <v>17</v>
      </c>
      <c r="D226" s="5">
        <v>4.99</v>
      </c>
      <c r="E226" s="18">
        <v>200.4</v>
      </c>
      <c r="F226" s="1" t="s">
        <v>18</v>
      </c>
      <c r="G226" s="1" t="s">
        <v>29</v>
      </c>
      <c r="H226" s="1" t="s">
        <v>19</v>
      </c>
      <c r="I226" s="1" t="s">
        <v>20</v>
      </c>
    </row>
    <row r="227" spans="1:9" x14ac:dyDescent="0.25">
      <c r="A227" s="1">
        <v>10685</v>
      </c>
      <c r="B227" s="2">
        <v>44919</v>
      </c>
      <c r="C227" s="1" t="s">
        <v>21</v>
      </c>
      <c r="D227" s="5">
        <v>12.99</v>
      </c>
      <c r="E227" s="18">
        <v>677.44</v>
      </c>
      <c r="F227" s="1" t="s">
        <v>18</v>
      </c>
      <c r="G227" s="1" t="s">
        <v>29</v>
      </c>
      <c r="H227" s="1" t="s">
        <v>19</v>
      </c>
      <c r="I227" s="1" t="s">
        <v>20</v>
      </c>
    </row>
    <row r="228" spans="1:9" x14ac:dyDescent="0.25">
      <c r="A228" s="1">
        <v>10686</v>
      </c>
      <c r="B228" s="2">
        <v>44919</v>
      </c>
      <c r="C228" s="1" t="s">
        <v>25</v>
      </c>
      <c r="D228" s="5">
        <v>9.9499999999999993</v>
      </c>
      <c r="E228" s="18">
        <v>241.21</v>
      </c>
      <c r="F228" s="1" t="s">
        <v>18</v>
      </c>
      <c r="G228" s="1" t="s">
        <v>29</v>
      </c>
      <c r="H228" s="1" t="s">
        <v>19</v>
      </c>
      <c r="I228" s="1" t="s">
        <v>20</v>
      </c>
    </row>
    <row r="229" spans="1:9" x14ac:dyDescent="0.25">
      <c r="A229" s="1">
        <v>10687</v>
      </c>
      <c r="B229" s="2">
        <v>44919</v>
      </c>
      <c r="C229" s="1" t="s">
        <v>9</v>
      </c>
      <c r="D229" s="5">
        <v>3.49</v>
      </c>
      <c r="E229" s="18">
        <v>630.37</v>
      </c>
      <c r="F229" s="1" t="s">
        <v>18</v>
      </c>
      <c r="G229" s="1" t="s">
        <v>29</v>
      </c>
      <c r="H229" s="1" t="s">
        <v>23</v>
      </c>
      <c r="I229" s="1" t="s">
        <v>24</v>
      </c>
    </row>
    <row r="230" spans="1:9" x14ac:dyDescent="0.25">
      <c r="A230" s="1">
        <v>10688</v>
      </c>
      <c r="B230" s="2">
        <v>44919</v>
      </c>
      <c r="C230" s="1" t="s">
        <v>14</v>
      </c>
      <c r="D230" s="5">
        <v>2.95</v>
      </c>
      <c r="E230" s="18">
        <v>677.97</v>
      </c>
      <c r="F230" s="1" t="s">
        <v>18</v>
      </c>
      <c r="G230" s="1" t="s">
        <v>29</v>
      </c>
      <c r="H230" s="1" t="s">
        <v>23</v>
      </c>
      <c r="I230" s="1" t="s">
        <v>24</v>
      </c>
    </row>
    <row r="231" spans="1:9" x14ac:dyDescent="0.25">
      <c r="A231" s="1">
        <v>10689</v>
      </c>
      <c r="B231" s="2">
        <v>44919</v>
      </c>
      <c r="C231" s="1" t="s">
        <v>17</v>
      </c>
      <c r="D231" s="5">
        <v>4.99</v>
      </c>
      <c r="E231" s="18">
        <v>200.4</v>
      </c>
      <c r="F231" s="1" t="s">
        <v>18</v>
      </c>
      <c r="G231" s="1" t="s">
        <v>29</v>
      </c>
      <c r="H231" s="1" t="s">
        <v>23</v>
      </c>
      <c r="I231" s="1" t="s">
        <v>24</v>
      </c>
    </row>
    <row r="232" spans="1:9" x14ac:dyDescent="0.25">
      <c r="A232" s="1">
        <v>10690</v>
      </c>
      <c r="B232" s="2">
        <v>44920</v>
      </c>
      <c r="C232" s="1" t="s">
        <v>21</v>
      </c>
      <c r="D232" s="5">
        <v>12.99</v>
      </c>
      <c r="E232" s="18">
        <v>677.44</v>
      </c>
      <c r="F232" s="1" t="s">
        <v>18</v>
      </c>
      <c r="G232" s="1" t="s">
        <v>29</v>
      </c>
      <c r="H232" s="1" t="s">
        <v>23</v>
      </c>
      <c r="I232" s="1" t="s">
        <v>24</v>
      </c>
    </row>
    <row r="233" spans="1:9" x14ac:dyDescent="0.25">
      <c r="A233" s="1">
        <v>10691</v>
      </c>
      <c r="B233" s="2">
        <v>44920</v>
      </c>
      <c r="C233" s="1" t="s">
        <v>25</v>
      </c>
      <c r="D233" s="5">
        <v>9.9499999999999993</v>
      </c>
      <c r="E233" s="18">
        <v>261.31</v>
      </c>
      <c r="F233" s="1" t="s">
        <v>18</v>
      </c>
      <c r="G233" s="1" t="s">
        <v>29</v>
      </c>
      <c r="H233" s="1" t="s">
        <v>23</v>
      </c>
      <c r="I233" s="1" t="s">
        <v>24</v>
      </c>
    </row>
    <row r="234" spans="1:9" x14ac:dyDescent="0.25">
      <c r="A234" s="1">
        <v>10692</v>
      </c>
      <c r="B234" s="2">
        <v>44920</v>
      </c>
      <c r="C234" s="1" t="s">
        <v>9</v>
      </c>
      <c r="D234" s="5">
        <v>3.49</v>
      </c>
      <c r="E234" s="18">
        <v>630.37</v>
      </c>
      <c r="F234" s="1" t="s">
        <v>18</v>
      </c>
      <c r="G234" s="1" t="s">
        <v>29</v>
      </c>
      <c r="H234" s="1" t="s">
        <v>23</v>
      </c>
      <c r="I234" s="1" t="s">
        <v>24</v>
      </c>
    </row>
    <row r="235" spans="1:9" x14ac:dyDescent="0.25">
      <c r="A235" s="1">
        <v>10693</v>
      </c>
      <c r="B235" s="2">
        <v>44920</v>
      </c>
      <c r="C235" s="1" t="s">
        <v>14</v>
      </c>
      <c r="D235" s="5">
        <v>2.95</v>
      </c>
      <c r="E235" s="18">
        <v>677.97</v>
      </c>
      <c r="F235" s="1" t="s">
        <v>18</v>
      </c>
      <c r="G235" s="1" t="s">
        <v>29</v>
      </c>
      <c r="H235" s="1" t="s">
        <v>23</v>
      </c>
      <c r="I235" s="1" t="s">
        <v>24</v>
      </c>
    </row>
    <row r="236" spans="1:9" x14ac:dyDescent="0.25">
      <c r="A236" s="1">
        <v>10694</v>
      </c>
      <c r="B236" s="2">
        <v>44920</v>
      </c>
      <c r="C236" s="1" t="s">
        <v>17</v>
      </c>
      <c r="D236" s="5">
        <v>4.99</v>
      </c>
      <c r="E236" s="18">
        <v>200.4</v>
      </c>
      <c r="F236" s="1" t="s">
        <v>18</v>
      </c>
      <c r="G236" s="1" t="s">
        <v>29</v>
      </c>
      <c r="H236" s="1" t="s">
        <v>23</v>
      </c>
      <c r="I236" s="1" t="s">
        <v>24</v>
      </c>
    </row>
    <row r="237" spans="1:9" x14ac:dyDescent="0.25">
      <c r="A237" s="1">
        <v>10695</v>
      </c>
      <c r="B237" s="2">
        <v>44921</v>
      </c>
      <c r="C237" s="1" t="s">
        <v>21</v>
      </c>
      <c r="D237" s="5">
        <v>12.99</v>
      </c>
      <c r="E237" s="18">
        <v>692.84</v>
      </c>
      <c r="F237" s="1" t="s">
        <v>18</v>
      </c>
      <c r="G237" s="1" t="s">
        <v>29</v>
      </c>
      <c r="H237" s="1" t="s">
        <v>23</v>
      </c>
      <c r="I237" s="1" t="s">
        <v>24</v>
      </c>
    </row>
    <row r="238" spans="1:9" x14ac:dyDescent="0.25">
      <c r="A238" s="1">
        <v>10696</v>
      </c>
      <c r="B238" s="2">
        <v>44921</v>
      </c>
      <c r="C238" s="1" t="s">
        <v>25</v>
      </c>
      <c r="D238" s="5">
        <v>9.9499999999999993</v>
      </c>
      <c r="E238" s="18">
        <v>281.41000000000003</v>
      </c>
      <c r="F238" s="1" t="s">
        <v>18</v>
      </c>
      <c r="G238" s="1" t="s">
        <v>29</v>
      </c>
      <c r="H238" s="1" t="s">
        <v>23</v>
      </c>
      <c r="I238" s="1" t="s">
        <v>24</v>
      </c>
    </row>
    <row r="239" spans="1:9" x14ac:dyDescent="0.25">
      <c r="A239" s="1">
        <v>10697</v>
      </c>
      <c r="B239" s="2">
        <v>44921</v>
      </c>
      <c r="C239" s="1" t="s">
        <v>9</v>
      </c>
      <c r="D239" s="5">
        <v>3.49</v>
      </c>
      <c r="E239" s="18">
        <v>630.37</v>
      </c>
      <c r="F239" s="1" t="s">
        <v>18</v>
      </c>
      <c r="G239" s="1" t="s">
        <v>29</v>
      </c>
      <c r="H239" s="1" t="s">
        <v>23</v>
      </c>
      <c r="I239" s="1" t="s">
        <v>24</v>
      </c>
    </row>
    <row r="240" spans="1:9" x14ac:dyDescent="0.25">
      <c r="A240" s="1">
        <v>10698</v>
      </c>
      <c r="B240" s="2">
        <v>44921</v>
      </c>
      <c r="C240" s="1" t="s">
        <v>14</v>
      </c>
      <c r="D240" s="5">
        <v>2.95</v>
      </c>
      <c r="E240" s="18">
        <v>677.97</v>
      </c>
      <c r="F240" s="1" t="s">
        <v>18</v>
      </c>
      <c r="G240" s="1" t="s">
        <v>29</v>
      </c>
      <c r="H240" s="1" t="s">
        <v>23</v>
      </c>
      <c r="I240" s="1" t="s">
        <v>24</v>
      </c>
    </row>
    <row r="241" spans="1:12" x14ac:dyDescent="0.25">
      <c r="A241" s="1">
        <v>10699</v>
      </c>
      <c r="B241" s="2">
        <v>44921</v>
      </c>
      <c r="C241" s="1" t="s">
        <v>17</v>
      </c>
      <c r="D241" s="5">
        <v>4.99</v>
      </c>
      <c r="E241" s="18">
        <v>200.4</v>
      </c>
      <c r="F241" s="1" t="s">
        <v>18</v>
      </c>
      <c r="G241" s="1" t="s">
        <v>29</v>
      </c>
      <c r="H241" s="1" t="s">
        <v>23</v>
      </c>
      <c r="I241" s="1" t="s">
        <v>24</v>
      </c>
    </row>
    <row r="242" spans="1:12" x14ac:dyDescent="0.25">
      <c r="A242" s="1">
        <v>10700</v>
      </c>
      <c r="B242" s="2">
        <v>44922</v>
      </c>
      <c r="C242" s="1" t="s">
        <v>21</v>
      </c>
      <c r="D242" s="5">
        <v>12.99</v>
      </c>
      <c r="E242" s="18">
        <v>692.84</v>
      </c>
      <c r="F242" s="1" t="s">
        <v>18</v>
      </c>
      <c r="G242" s="1" t="s">
        <v>29</v>
      </c>
      <c r="H242" s="1" t="s">
        <v>23</v>
      </c>
      <c r="I242" s="1" t="s">
        <v>24</v>
      </c>
    </row>
    <row r="243" spans="1:12" x14ac:dyDescent="0.25">
      <c r="A243" s="1">
        <v>10701</v>
      </c>
      <c r="B243" s="2">
        <v>44922</v>
      </c>
      <c r="C243" s="1" t="s">
        <v>25</v>
      </c>
      <c r="D243" s="5">
        <v>9.9499999999999993</v>
      </c>
      <c r="E243" s="18">
        <v>281.41000000000003</v>
      </c>
      <c r="F243" s="1" t="s">
        <v>18</v>
      </c>
      <c r="G243" s="1" t="s">
        <v>29</v>
      </c>
      <c r="H243" s="1" t="s">
        <v>23</v>
      </c>
      <c r="I243" s="1" t="s">
        <v>24</v>
      </c>
    </row>
    <row r="244" spans="1:12" x14ac:dyDescent="0.25">
      <c r="A244" s="1">
        <v>10702</v>
      </c>
      <c r="B244" s="2">
        <v>44922</v>
      </c>
      <c r="C244" s="1" t="s">
        <v>9</v>
      </c>
      <c r="D244" s="5">
        <v>3.49</v>
      </c>
      <c r="E244" s="18">
        <v>630.37</v>
      </c>
      <c r="F244" s="1" t="s">
        <v>18</v>
      </c>
      <c r="G244" s="1" t="s">
        <v>29</v>
      </c>
      <c r="H244" s="1" t="s">
        <v>23</v>
      </c>
      <c r="I244" s="1" t="s">
        <v>24</v>
      </c>
    </row>
    <row r="245" spans="1:12" x14ac:dyDescent="0.25">
      <c r="A245" s="1">
        <v>10703</v>
      </c>
      <c r="B245" s="2">
        <v>44922</v>
      </c>
      <c r="C245" s="1" t="s">
        <v>14</v>
      </c>
      <c r="D245" s="5">
        <v>2.95</v>
      </c>
      <c r="E245" s="18">
        <v>677.97</v>
      </c>
      <c r="F245" s="1" t="s">
        <v>18</v>
      </c>
      <c r="G245" s="1" t="s">
        <v>11</v>
      </c>
      <c r="H245" s="1" t="s">
        <v>23</v>
      </c>
      <c r="I245" s="1" t="s">
        <v>24</v>
      </c>
    </row>
    <row r="246" spans="1:12" x14ac:dyDescent="0.25">
      <c r="A246" s="1">
        <v>10704</v>
      </c>
      <c r="B246" s="2">
        <v>44922</v>
      </c>
      <c r="C246" s="1" t="s">
        <v>17</v>
      </c>
      <c r="D246" s="5">
        <v>4.99</v>
      </c>
      <c r="E246" s="18">
        <v>200.4</v>
      </c>
      <c r="F246" s="1" t="s">
        <v>28</v>
      </c>
      <c r="G246" s="1" t="s">
        <v>11</v>
      </c>
      <c r="H246" s="1" t="s">
        <v>23</v>
      </c>
      <c r="I246" s="1" t="s">
        <v>24</v>
      </c>
    </row>
    <row r="247" spans="1:12" x14ac:dyDescent="0.25">
      <c r="A247" s="1">
        <v>10705</v>
      </c>
      <c r="B247" s="2">
        <v>44923</v>
      </c>
      <c r="C247" s="1" t="s">
        <v>21</v>
      </c>
      <c r="D247" s="5">
        <v>12.99</v>
      </c>
      <c r="E247" s="18">
        <v>723.63</v>
      </c>
      <c r="F247" s="1" t="s">
        <v>28</v>
      </c>
      <c r="G247" s="1" t="s">
        <v>11</v>
      </c>
      <c r="H247" s="1" t="s">
        <v>23</v>
      </c>
      <c r="I247" s="1" t="s">
        <v>24</v>
      </c>
    </row>
    <row r="248" spans="1:12" x14ac:dyDescent="0.25">
      <c r="A248" s="1">
        <v>10706</v>
      </c>
      <c r="B248" s="2">
        <v>44923</v>
      </c>
      <c r="C248" s="1" t="s">
        <v>25</v>
      </c>
      <c r="D248" s="5">
        <v>9.9499999999999993</v>
      </c>
      <c r="E248" s="18">
        <v>301.51</v>
      </c>
      <c r="F248" s="1" t="s">
        <v>28</v>
      </c>
      <c r="G248" s="1" t="s">
        <v>11</v>
      </c>
      <c r="H248" s="1" t="s">
        <v>23</v>
      </c>
      <c r="I248" s="1" t="s">
        <v>24</v>
      </c>
    </row>
    <row r="249" spans="1:12" x14ac:dyDescent="0.25">
      <c r="A249" s="1">
        <v>10707</v>
      </c>
      <c r="B249" s="2">
        <v>44923</v>
      </c>
      <c r="C249" s="1" t="s">
        <v>9</v>
      </c>
      <c r="D249" s="5">
        <v>3.49</v>
      </c>
      <c r="E249" s="18">
        <v>630.37</v>
      </c>
      <c r="F249" s="1" t="s">
        <v>28</v>
      </c>
      <c r="G249" s="1" t="s">
        <v>11</v>
      </c>
      <c r="H249" s="1" t="s">
        <v>23</v>
      </c>
      <c r="I249" s="1" t="s">
        <v>24</v>
      </c>
      <c r="L249" s="4"/>
    </row>
    <row r="250" spans="1:12" x14ac:dyDescent="0.25">
      <c r="A250" s="1">
        <v>10708</v>
      </c>
      <c r="B250" s="2">
        <v>44923</v>
      </c>
      <c r="C250" s="1" t="s">
        <v>14</v>
      </c>
      <c r="D250" s="5">
        <v>2.95</v>
      </c>
      <c r="E250" s="18">
        <v>677.97</v>
      </c>
      <c r="F250" s="1" t="s">
        <v>28</v>
      </c>
      <c r="G250" s="1" t="s">
        <v>11</v>
      </c>
      <c r="H250" s="1" t="s">
        <v>23</v>
      </c>
      <c r="I250" s="1" t="s">
        <v>24</v>
      </c>
    </row>
    <row r="251" spans="1:12" x14ac:dyDescent="0.25">
      <c r="A251" s="1">
        <v>10709</v>
      </c>
      <c r="B251" s="2">
        <v>44923</v>
      </c>
      <c r="C251" s="1" t="s">
        <v>17</v>
      </c>
      <c r="D251" s="5">
        <v>4.99</v>
      </c>
      <c r="E251" s="18">
        <v>200.4</v>
      </c>
      <c r="F251" s="1" t="s">
        <v>28</v>
      </c>
      <c r="G251" s="1" t="s">
        <v>11</v>
      </c>
      <c r="H251" s="1" t="s">
        <v>23</v>
      </c>
      <c r="I251" s="1" t="s">
        <v>24</v>
      </c>
    </row>
    <row r="252" spans="1:12" x14ac:dyDescent="0.25">
      <c r="A252" s="1">
        <v>10710</v>
      </c>
      <c r="B252" s="2">
        <v>44924</v>
      </c>
      <c r="C252" s="1" t="s">
        <v>21</v>
      </c>
      <c r="D252" s="5">
        <v>12.99</v>
      </c>
      <c r="E252" s="18">
        <v>754.43</v>
      </c>
      <c r="F252" s="1" t="s">
        <v>28</v>
      </c>
      <c r="G252" s="1" t="s">
        <v>11</v>
      </c>
      <c r="H252" s="1" t="s">
        <v>23</v>
      </c>
      <c r="I252" s="1" t="s">
        <v>24</v>
      </c>
    </row>
    <row r="253" spans="1:12" x14ac:dyDescent="0.25">
      <c r="A253" s="1">
        <v>10711</v>
      </c>
      <c r="B253" s="2">
        <v>44924</v>
      </c>
      <c r="C253" s="1" t="s">
        <v>25</v>
      </c>
      <c r="D253" s="5">
        <v>9.9499999999999993</v>
      </c>
      <c r="E253" s="18">
        <v>281.41000000000003</v>
      </c>
      <c r="F253" s="1" t="s">
        <v>28</v>
      </c>
      <c r="G253" s="1" t="s">
        <v>11</v>
      </c>
      <c r="H253" s="1" t="s">
        <v>23</v>
      </c>
      <c r="I253" s="1" t="s">
        <v>24</v>
      </c>
    </row>
    <row r="254" spans="1:12" x14ac:dyDescent="0.25">
      <c r="A254" s="1">
        <v>10712</v>
      </c>
      <c r="B254" s="2">
        <v>44924</v>
      </c>
      <c r="C254" s="1" t="s">
        <v>9</v>
      </c>
      <c r="D254" s="5">
        <v>3.49</v>
      </c>
      <c r="E254" s="18">
        <v>630.37</v>
      </c>
      <c r="F254" s="1" t="s">
        <v>28</v>
      </c>
      <c r="G254" s="1" t="s">
        <v>11</v>
      </c>
      <c r="H254" s="1" t="s">
        <v>23</v>
      </c>
      <c r="I254" s="1" t="s">
        <v>24</v>
      </c>
    </row>
    <row r="255" spans="1:12" x14ac:dyDescent="0.25">
      <c r="A255" s="1">
        <v>10713</v>
      </c>
      <c r="B255" s="2">
        <v>44924</v>
      </c>
      <c r="C255" s="1" t="s">
        <v>14</v>
      </c>
      <c r="D255" s="5">
        <v>2.95</v>
      </c>
      <c r="E255" s="18">
        <v>677.97</v>
      </c>
      <c r="F255" s="1" t="s">
        <v>28</v>
      </c>
      <c r="G255" s="1" t="s">
        <v>11</v>
      </c>
      <c r="H255" s="1" t="s">
        <v>23</v>
      </c>
      <c r="I255" s="1" t="s">
        <v>24</v>
      </c>
    </row>
    <row r="269" spans="4:4" x14ac:dyDescent="0.25">
      <c r="D269" s="3"/>
    </row>
    <row r="272" spans="4:4" x14ac:dyDescent="0.25">
      <c r="D27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4A59F-047C-4635-84A3-35F432938F7B}">
  <dimension ref="A1:X255"/>
  <sheetViews>
    <sheetView topLeftCell="A43" workbookViewId="0">
      <selection activeCell="F4" sqref="F4"/>
    </sheetView>
  </sheetViews>
  <sheetFormatPr defaultRowHeight="15" x14ac:dyDescent="0.25"/>
  <cols>
    <col min="1" max="1" width="18.42578125" bestFit="1" customWidth="1"/>
    <col min="2" max="2" width="15.85546875" style="9" bestFit="1" customWidth="1"/>
    <col min="3" max="3" width="16.85546875" bestFit="1" customWidth="1"/>
    <col min="4" max="4" width="18.42578125" bestFit="1" customWidth="1"/>
    <col min="5" max="5" width="17" style="10" bestFit="1" customWidth="1"/>
    <col min="6" max="6" width="22.140625" bestFit="1" customWidth="1"/>
    <col min="7" max="7" width="18.42578125" bestFit="1" customWidth="1"/>
    <col min="8" max="8" width="14.7109375" bestFit="1" customWidth="1"/>
    <col min="9" max="9" width="17" bestFit="1" customWidth="1"/>
    <col min="10" max="10" width="7.42578125" bestFit="1" customWidth="1"/>
    <col min="11" max="11" width="10.7109375" bestFit="1" customWidth="1"/>
    <col min="12" max="12" width="12.140625" style="5" bestFit="1" customWidth="1"/>
    <col min="13" max="13" width="16.140625" bestFit="1" customWidth="1"/>
    <col min="14" max="14" width="22.140625" style="1" bestFit="1" customWidth="1"/>
    <col min="15" max="15" width="22.140625" bestFit="1" customWidth="1"/>
    <col min="16" max="16" width="6" style="4" bestFit="1" customWidth="1"/>
    <col min="17" max="17" width="10.42578125" bestFit="1" customWidth="1"/>
    <col min="18" max="18" width="19.28515625" style="4" bestFit="1" customWidth="1"/>
    <col min="19" max="19" width="7.7109375" bestFit="1" customWidth="1"/>
    <col min="20" max="20" width="6.5703125" bestFit="1" customWidth="1"/>
    <col min="21" max="21" width="10.140625" bestFit="1" customWidth="1"/>
    <col min="22" max="22" width="11.140625" bestFit="1" customWidth="1"/>
    <col min="23" max="23" width="12.7109375" bestFit="1" customWidth="1"/>
    <col min="24" max="24" width="7.5703125" bestFit="1" customWidth="1"/>
  </cols>
  <sheetData>
    <row r="1" spans="1:24" x14ac:dyDescent="0.25">
      <c r="L1" s="5" t="s">
        <v>3</v>
      </c>
      <c r="N1" s="16" t="s">
        <v>38</v>
      </c>
      <c r="P1" s="19">
        <v>10452</v>
      </c>
      <c r="Q1" s="20">
        <v>44872</v>
      </c>
      <c r="R1" s="21" t="s">
        <v>9</v>
      </c>
      <c r="S1" s="22">
        <v>3.49</v>
      </c>
      <c r="T1" s="23">
        <v>573.07000000000005</v>
      </c>
      <c r="U1" s="21" t="s">
        <v>10</v>
      </c>
      <c r="V1" s="21" t="s">
        <v>11</v>
      </c>
      <c r="W1" s="21" t="s">
        <v>12</v>
      </c>
      <c r="X1" s="24" t="s">
        <v>13</v>
      </c>
    </row>
    <row r="2" spans="1:24" x14ac:dyDescent="0.25">
      <c r="L2" s="5">
        <v>3.49</v>
      </c>
      <c r="N2" s="17">
        <f>AVERAGE(Tabela3[[#All],[ Price ]])</f>
        <v>7.1023228346456859</v>
      </c>
      <c r="P2" s="25">
        <v>10453</v>
      </c>
      <c r="Q2" s="26">
        <v>44872</v>
      </c>
      <c r="R2" s="27" t="s">
        <v>14</v>
      </c>
      <c r="S2" s="28">
        <v>2.95</v>
      </c>
      <c r="T2" s="29">
        <v>745.76</v>
      </c>
      <c r="U2" s="27" t="s">
        <v>10</v>
      </c>
      <c r="V2" s="27" t="s">
        <v>11</v>
      </c>
      <c r="W2" s="27" t="s">
        <v>15</v>
      </c>
      <c r="X2" s="30" t="s">
        <v>16</v>
      </c>
    </row>
    <row r="3" spans="1:24" x14ac:dyDescent="0.25">
      <c r="H3" s="6" t="s">
        <v>30</v>
      </c>
      <c r="I3" s="10" t="s">
        <v>33</v>
      </c>
      <c r="L3" s="5">
        <v>2.95</v>
      </c>
      <c r="P3" s="19">
        <v>10454</v>
      </c>
      <c r="Q3" s="20">
        <v>44872</v>
      </c>
      <c r="R3" s="21" t="s">
        <v>17</v>
      </c>
      <c r="S3" s="22">
        <v>4.99</v>
      </c>
      <c r="T3" s="23">
        <v>200.4</v>
      </c>
      <c r="U3" s="21" t="s">
        <v>18</v>
      </c>
      <c r="V3" s="21" t="s">
        <v>11</v>
      </c>
      <c r="W3" s="21" t="s">
        <v>19</v>
      </c>
      <c r="X3" s="24" t="s">
        <v>20</v>
      </c>
    </row>
    <row r="4" spans="1:24" x14ac:dyDescent="0.25">
      <c r="A4" s="6" t="s">
        <v>30</v>
      </c>
      <c r="B4" s="4" t="s">
        <v>31</v>
      </c>
      <c r="D4" s="6" t="s">
        <v>30</v>
      </c>
      <c r="E4" s="10" t="s">
        <v>33</v>
      </c>
      <c r="H4" s="7" t="s">
        <v>17</v>
      </c>
      <c r="I4" s="10">
        <v>9819.5999999999913</v>
      </c>
      <c r="L4" s="5">
        <v>4.99</v>
      </c>
      <c r="P4" s="25">
        <v>10455</v>
      </c>
      <c r="Q4" s="26">
        <v>44873</v>
      </c>
      <c r="R4" s="27" t="s">
        <v>21</v>
      </c>
      <c r="S4" s="28">
        <v>12.99</v>
      </c>
      <c r="T4" s="29">
        <v>569.66999999999996</v>
      </c>
      <c r="U4" s="27" t="s">
        <v>18</v>
      </c>
      <c r="V4" s="27" t="s">
        <v>22</v>
      </c>
      <c r="W4" s="27" t="s">
        <v>23</v>
      </c>
      <c r="X4" s="30" t="s">
        <v>24</v>
      </c>
    </row>
    <row r="5" spans="1:24" x14ac:dyDescent="0.25">
      <c r="A5" s="7" t="s">
        <v>19</v>
      </c>
      <c r="B5" s="4">
        <v>546.62000000000012</v>
      </c>
      <c r="D5" s="7" t="s">
        <v>20</v>
      </c>
      <c r="E5" s="10">
        <v>35752.840000000004</v>
      </c>
      <c r="H5" s="7" t="s">
        <v>9</v>
      </c>
      <c r="I5" s="10">
        <v>32034.339999999986</v>
      </c>
      <c r="L5" s="5">
        <v>12.99</v>
      </c>
      <c r="P5" s="19">
        <v>10456</v>
      </c>
      <c r="Q5" s="20">
        <v>44873</v>
      </c>
      <c r="R5" s="21" t="s">
        <v>25</v>
      </c>
      <c r="S5" s="22">
        <v>9.9499999999999993</v>
      </c>
      <c r="T5" s="23">
        <v>201.01</v>
      </c>
      <c r="U5" s="21" t="s">
        <v>18</v>
      </c>
      <c r="V5" s="21" t="s">
        <v>22</v>
      </c>
      <c r="W5" s="21" t="s">
        <v>23</v>
      </c>
      <c r="X5" s="24" t="s">
        <v>24</v>
      </c>
    </row>
    <row r="6" spans="1:24" x14ac:dyDescent="0.25">
      <c r="A6" s="7" t="s">
        <v>12</v>
      </c>
      <c r="B6" s="4">
        <v>521.05000000000007</v>
      </c>
      <c r="D6" s="7" t="s">
        <v>13</v>
      </c>
      <c r="E6" s="10">
        <v>33535.339999999997</v>
      </c>
      <c r="H6" s="7" t="s">
        <v>25</v>
      </c>
      <c r="I6" s="10">
        <v>11135.920000000002</v>
      </c>
      <c r="L6" s="5">
        <v>9.9499999999999993</v>
      </c>
      <c r="P6" s="25">
        <v>10457</v>
      </c>
      <c r="Q6" s="26">
        <v>44873</v>
      </c>
      <c r="R6" s="27" t="s">
        <v>9</v>
      </c>
      <c r="S6" s="28">
        <v>3.49</v>
      </c>
      <c r="T6" s="29">
        <v>573.07000000000005</v>
      </c>
      <c r="U6" s="27" t="s">
        <v>18</v>
      </c>
      <c r="V6" s="27" t="s">
        <v>22</v>
      </c>
      <c r="W6" s="27" t="s">
        <v>26</v>
      </c>
      <c r="X6" s="30" t="s">
        <v>27</v>
      </c>
    </row>
    <row r="7" spans="1:24" x14ac:dyDescent="0.25">
      <c r="A7" s="7" t="s">
        <v>15</v>
      </c>
      <c r="B7" s="4">
        <v>331.82000000000005</v>
      </c>
      <c r="D7" s="7" t="s">
        <v>16</v>
      </c>
      <c r="E7" s="10">
        <v>20444.25</v>
      </c>
      <c r="H7" s="7" t="s">
        <v>21</v>
      </c>
      <c r="I7" s="10">
        <v>29022.309999999994</v>
      </c>
      <c r="L7" s="5">
        <v>3.49</v>
      </c>
      <c r="P7" s="19">
        <v>10459</v>
      </c>
      <c r="Q7" s="20">
        <v>44873</v>
      </c>
      <c r="R7" s="21" t="s">
        <v>17</v>
      </c>
      <c r="S7" s="22">
        <v>4.99</v>
      </c>
      <c r="T7" s="23">
        <v>200.4</v>
      </c>
      <c r="U7" s="21" t="s">
        <v>18</v>
      </c>
      <c r="V7" s="21" t="s">
        <v>22</v>
      </c>
      <c r="W7" s="21" t="s">
        <v>23</v>
      </c>
      <c r="X7" s="24" t="s">
        <v>24</v>
      </c>
    </row>
    <row r="8" spans="1:24" x14ac:dyDescent="0.25">
      <c r="A8" s="7" t="s">
        <v>23</v>
      </c>
      <c r="B8" s="4">
        <v>206.22</v>
      </c>
      <c r="D8" s="7" t="s">
        <v>24</v>
      </c>
      <c r="E8" s="10">
        <v>14771.349999999999</v>
      </c>
      <c r="H8" s="7" t="s">
        <v>14</v>
      </c>
      <c r="I8" s="10">
        <v>34983.140000000007</v>
      </c>
      <c r="L8" s="5">
        <v>4.99</v>
      </c>
      <c r="P8" s="25">
        <v>10460</v>
      </c>
      <c r="Q8" s="26">
        <v>44874</v>
      </c>
      <c r="R8" s="27" t="s">
        <v>21</v>
      </c>
      <c r="S8" s="28">
        <v>12.99</v>
      </c>
      <c r="T8" s="29">
        <v>554.27</v>
      </c>
      <c r="U8" s="27" t="s">
        <v>18</v>
      </c>
      <c r="V8" s="27" t="s">
        <v>22</v>
      </c>
      <c r="W8" s="27" t="s">
        <v>26</v>
      </c>
      <c r="X8" s="30" t="s">
        <v>27</v>
      </c>
    </row>
    <row r="9" spans="1:24" x14ac:dyDescent="0.25">
      <c r="A9" s="7" t="s">
        <v>26</v>
      </c>
      <c r="B9" s="4">
        <v>198.28</v>
      </c>
      <c r="D9" s="7" t="s">
        <v>27</v>
      </c>
      <c r="E9" s="10">
        <v>12491.53</v>
      </c>
      <c r="H9" s="7" t="s">
        <v>32</v>
      </c>
      <c r="I9" s="10">
        <v>116995.30999999997</v>
      </c>
      <c r="L9" s="5">
        <v>12.99</v>
      </c>
      <c r="P9" s="19">
        <v>10461</v>
      </c>
      <c r="Q9" s="20">
        <v>44874</v>
      </c>
      <c r="R9" s="21" t="s">
        <v>25</v>
      </c>
      <c r="S9" s="22">
        <v>9.9499999999999993</v>
      </c>
      <c r="T9" s="23">
        <v>201.01</v>
      </c>
      <c r="U9" s="21" t="s">
        <v>18</v>
      </c>
      <c r="V9" s="21" t="s">
        <v>22</v>
      </c>
      <c r="W9" s="21" t="s">
        <v>26</v>
      </c>
      <c r="X9" s="24" t="s">
        <v>27</v>
      </c>
    </row>
    <row r="10" spans="1:24" x14ac:dyDescent="0.25">
      <c r="A10" s="7" t="s">
        <v>32</v>
      </c>
      <c r="B10" s="4">
        <v>1803.9900000000005</v>
      </c>
      <c r="D10" s="7" t="s">
        <v>32</v>
      </c>
      <c r="E10" s="10">
        <v>116995.31</v>
      </c>
      <c r="L10" s="5">
        <v>9.9499999999999993</v>
      </c>
      <c r="P10" s="25">
        <v>10462</v>
      </c>
      <c r="Q10" s="26">
        <v>44874</v>
      </c>
      <c r="R10" s="27" t="s">
        <v>9</v>
      </c>
      <c r="S10" s="28">
        <v>3.49</v>
      </c>
      <c r="T10" s="29">
        <v>573.07000000000005</v>
      </c>
      <c r="U10" s="27" t="s">
        <v>18</v>
      </c>
      <c r="V10" s="27" t="s">
        <v>22</v>
      </c>
      <c r="W10" s="27" t="s">
        <v>26</v>
      </c>
      <c r="X10" s="30" t="s">
        <v>27</v>
      </c>
    </row>
    <row r="11" spans="1:24" x14ac:dyDescent="0.25">
      <c r="L11" s="5">
        <v>3.49</v>
      </c>
      <c r="P11" s="19">
        <v>10463</v>
      </c>
      <c r="Q11" s="20">
        <v>44874</v>
      </c>
      <c r="R11" s="21" t="s">
        <v>14</v>
      </c>
      <c r="S11" s="22">
        <v>2.95</v>
      </c>
      <c r="T11" s="23">
        <v>677.97</v>
      </c>
      <c r="U11" s="21" t="s">
        <v>18</v>
      </c>
      <c r="V11" s="21" t="s">
        <v>22</v>
      </c>
      <c r="W11" s="21" t="s">
        <v>26</v>
      </c>
      <c r="X11" s="24" t="s">
        <v>27</v>
      </c>
    </row>
    <row r="12" spans="1:24" x14ac:dyDescent="0.25">
      <c r="L12" s="5">
        <v>2.95</v>
      </c>
      <c r="P12" s="25">
        <v>10464</v>
      </c>
      <c r="Q12" s="26">
        <v>44874</v>
      </c>
      <c r="R12" s="27" t="s">
        <v>17</v>
      </c>
      <c r="S12" s="28">
        <v>4.99</v>
      </c>
      <c r="T12" s="29">
        <v>200.4</v>
      </c>
      <c r="U12" s="27" t="s">
        <v>18</v>
      </c>
      <c r="V12" s="27" t="s">
        <v>22</v>
      </c>
      <c r="W12" s="27" t="s">
        <v>26</v>
      </c>
      <c r="X12" s="30" t="s">
        <v>27</v>
      </c>
    </row>
    <row r="13" spans="1:24" x14ac:dyDescent="0.25">
      <c r="L13" s="5">
        <v>4.99</v>
      </c>
      <c r="P13" s="19">
        <v>10465</v>
      </c>
      <c r="Q13" s="20">
        <v>44875</v>
      </c>
      <c r="R13" s="21" t="s">
        <v>21</v>
      </c>
      <c r="S13" s="22">
        <v>12.99</v>
      </c>
      <c r="T13" s="23">
        <v>554.27</v>
      </c>
      <c r="U13" s="21" t="s">
        <v>18</v>
      </c>
      <c r="V13" s="21" t="s">
        <v>22</v>
      </c>
      <c r="W13" s="21" t="s">
        <v>15</v>
      </c>
      <c r="X13" s="24" t="s">
        <v>16</v>
      </c>
    </row>
    <row r="14" spans="1:24" x14ac:dyDescent="0.25">
      <c r="L14" s="5">
        <v>12.99</v>
      </c>
      <c r="P14" s="25">
        <v>10466</v>
      </c>
      <c r="Q14" s="26">
        <v>44875</v>
      </c>
      <c r="R14" s="27" t="s">
        <v>25</v>
      </c>
      <c r="S14" s="28">
        <v>9.9499999999999993</v>
      </c>
      <c r="T14" s="29">
        <v>201.01</v>
      </c>
      <c r="U14" s="27" t="s">
        <v>18</v>
      </c>
      <c r="V14" s="27" t="s">
        <v>22</v>
      </c>
      <c r="W14" s="27" t="s">
        <v>15</v>
      </c>
      <c r="X14" s="30" t="s">
        <v>16</v>
      </c>
    </row>
    <row r="15" spans="1:24" x14ac:dyDescent="0.25">
      <c r="L15" s="5">
        <v>9.9499999999999993</v>
      </c>
      <c r="P15" s="19">
        <v>10467</v>
      </c>
      <c r="Q15" s="20">
        <v>44875</v>
      </c>
      <c r="R15" s="21" t="s">
        <v>9</v>
      </c>
      <c r="S15" s="22">
        <v>3.49</v>
      </c>
      <c r="T15" s="23">
        <v>573.07000000000005</v>
      </c>
      <c r="U15" s="21" t="s">
        <v>18</v>
      </c>
      <c r="V15" s="21" t="s">
        <v>22</v>
      </c>
      <c r="W15" s="21" t="s">
        <v>15</v>
      </c>
      <c r="X15" s="24" t="s">
        <v>16</v>
      </c>
    </row>
    <row r="16" spans="1:24" x14ac:dyDescent="0.25">
      <c r="L16" s="5">
        <v>3.49</v>
      </c>
      <c r="P16" s="25">
        <v>10468</v>
      </c>
      <c r="Q16" s="26">
        <v>44875</v>
      </c>
      <c r="R16" s="27" t="s">
        <v>14</v>
      </c>
      <c r="S16" s="28">
        <v>2.95</v>
      </c>
      <c r="T16" s="29">
        <v>677.97</v>
      </c>
      <c r="U16" s="27" t="s">
        <v>18</v>
      </c>
      <c r="V16" s="27" t="s">
        <v>22</v>
      </c>
      <c r="W16" s="27" t="s">
        <v>15</v>
      </c>
      <c r="X16" s="30" t="s">
        <v>16</v>
      </c>
    </row>
    <row r="17" spans="2:24" x14ac:dyDescent="0.25">
      <c r="L17" s="5">
        <v>2.95</v>
      </c>
      <c r="P17" s="19">
        <v>10470</v>
      </c>
      <c r="Q17" s="20">
        <v>44876</v>
      </c>
      <c r="R17" s="21" t="s">
        <v>21</v>
      </c>
      <c r="S17" s="22">
        <v>12.99</v>
      </c>
      <c r="T17" s="23">
        <v>554.27</v>
      </c>
      <c r="U17" s="21" t="s">
        <v>18</v>
      </c>
      <c r="V17" s="21" t="s">
        <v>22</v>
      </c>
      <c r="W17" s="21" t="s">
        <v>15</v>
      </c>
      <c r="X17" s="24" t="s">
        <v>16</v>
      </c>
    </row>
    <row r="18" spans="2:24" x14ac:dyDescent="0.25">
      <c r="L18" s="5">
        <v>12.99</v>
      </c>
      <c r="P18" s="25">
        <v>10471</v>
      </c>
      <c r="Q18" s="26">
        <v>44876</v>
      </c>
      <c r="R18" s="27" t="s">
        <v>25</v>
      </c>
      <c r="S18" s="28">
        <v>9.9499999999999993</v>
      </c>
      <c r="T18" s="29">
        <v>201.01</v>
      </c>
      <c r="U18" s="27" t="s">
        <v>18</v>
      </c>
      <c r="V18" s="27" t="s">
        <v>22</v>
      </c>
      <c r="W18" s="27" t="s">
        <v>15</v>
      </c>
      <c r="X18" s="30" t="s">
        <v>16</v>
      </c>
    </row>
    <row r="19" spans="2:24" x14ac:dyDescent="0.25">
      <c r="L19" s="5">
        <v>9.9499999999999993</v>
      </c>
      <c r="P19" s="19">
        <v>10472</v>
      </c>
      <c r="Q19" s="20">
        <v>44876</v>
      </c>
      <c r="R19" s="21" t="s">
        <v>9</v>
      </c>
      <c r="S19" s="22">
        <v>3.49</v>
      </c>
      <c r="T19" s="23">
        <v>630.37</v>
      </c>
      <c r="U19" s="21" t="s">
        <v>18</v>
      </c>
      <c r="V19" s="21" t="s">
        <v>22</v>
      </c>
      <c r="W19" s="21" t="s">
        <v>15</v>
      </c>
      <c r="X19" s="24" t="s">
        <v>16</v>
      </c>
    </row>
    <row r="20" spans="2:24" x14ac:dyDescent="0.25">
      <c r="L20" s="5">
        <v>3.49</v>
      </c>
      <c r="N20" s="18"/>
      <c r="P20" s="25">
        <v>10473</v>
      </c>
      <c r="Q20" s="26">
        <v>44876</v>
      </c>
      <c r="R20" s="27" t="s">
        <v>14</v>
      </c>
      <c r="S20" s="28">
        <v>2.95</v>
      </c>
      <c r="T20" s="29">
        <v>677.97</v>
      </c>
      <c r="U20" s="27" t="s">
        <v>18</v>
      </c>
      <c r="V20" s="27" t="s">
        <v>22</v>
      </c>
      <c r="W20" s="27" t="s">
        <v>15</v>
      </c>
      <c r="X20" s="30" t="s">
        <v>16</v>
      </c>
    </row>
    <row r="21" spans="2:24" x14ac:dyDescent="0.25">
      <c r="L21" s="5">
        <v>2.95</v>
      </c>
      <c r="P21" s="19">
        <v>10474</v>
      </c>
      <c r="Q21" s="20">
        <v>44876</v>
      </c>
      <c r="R21" s="21" t="s">
        <v>17</v>
      </c>
      <c r="S21" s="22">
        <v>4.99</v>
      </c>
      <c r="T21" s="23">
        <v>200.4</v>
      </c>
      <c r="U21" s="21" t="s">
        <v>18</v>
      </c>
      <c r="V21" s="21" t="s">
        <v>22</v>
      </c>
      <c r="W21" s="21" t="s">
        <v>15</v>
      </c>
      <c r="X21" s="24" t="s">
        <v>16</v>
      </c>
    </row>
    <row r="22" spans="2:24" x14ac:dyDescent="0.25">
      <c r="L22" s="5">
        <v>4.99</v>
      </c>
      <c r="P22" s="25">
        <v>10475</v>
      </c>
      <c r="Q22" s="26">
        <v>44877</v>
      </c>
      <c r="R22" s="27" t="s">
        <v>21</v>
      </c>
      <c r="S22" s="28">
        <v>12.99</v>
      </c>
      <c r="T22" s="29">
        <v>523.48</v>
      </c>
      <c r="U22" s="27" t="s">
        <v>18</v>
      </c>
      <c r="V22" s="27" t="s">
        <v>22</v>
      </c>
      <c r="W22" s="27" t="s">
        <v>15</v>
      </c>
      <c r="X22" s="30" t="s">
        <v>16</v>
      </c>
    </row>
    <row r="23" spans="2:24" x14ac:dyDescent="0.25">
      <c r="B23"/>
      <c r="L23" s="5">
        <v>12.99</v>
      </c>
      <c r="P23" s="19">
        <v>10476</v>
      </c>
      <c r="Q23" s="20">
        <v>44877</v>
      </c>
      <c r="R23" s="21" t="s">
        <v>25</v>
      </c>
      <c r="S23" s="22">
        <v>9.9499999999999993</v>
      </c>
      <c r="T23" s="23">
        <v>201.01</v>
      </c>
      <c r="U23" s="21" t="s">
        <v>18</v>
      </c>
      <c r="V23" s="21" t="s">
        <v>22</v>
      </c>
      <c r="W23" s="21" t="s">
        <v>15</v>
      </c>
      <c r="X23" s="24" t="s">
        <v>16</v>
      </c>
    </row>
    <row r="24" spans="2:24" x14ac:dyDescent="0.25">
      <c r="B24"/>
      <c r="L24" s="5">
        <v>9.9499999999999993</v>
      </c>
      <c r="P24" s="25">
        <v>10477</v>
      </c>
      <c r="Q24" s="26">
        <v>44877</v>
      </c>
      <c r="R24" s="27" t="s">
        <v>9</v>
      </c>
      <c r="S24" s="28">
        <v>3.49</v>
      </c>
      <c r="T24" s="29">
        <v>630.37</v>
      </c>
      <c r="U24" s="27" t="s">
        <v>18</v>
      </c>
      <c r="V24" s="27" t="s">
        <v>22</v>
      </c>
      <c r="W24" s="27" t="s">
        <v>15</v>
      </c>
      <c r="X24" s="30" t="s">
        <v>16</v>
      </c>
    </row>
    <row r="25" spans="2:24" x14ac:dyDescent="0.25">
      <c r="B25"/>
      <c r="L25" s="5">
        <v>3.49</v>
      </c>
      <c r="P25" s="19">
        <v>10478</v>
      </c>
      <c r="Q25" s="20">
        <v>44877</v>
      </c>
      <c r="R25" s="21" t="s">
        <v>14</v>
      </c>
      <c r="S25" s="22">
        <v>2.95</v>
      </c>
      <c r="T25" s="23">
        <v>677.97</v>
      </c>
      <c r="U25" s="21" t="s">
        <v>18</v>
      </c>
      <c r="V25" s="21" t="s">
        <v>22</v>
      </c>
      <c r="W25" s="21" t="s">
        <v>15</v>
      </c>
      <c r="X25" s="24" t="s">
        <v>16</v>
      </c>
    </row>
    <row r="26" spans="2:24" x14ac:dyDescent="0.25">
      <c r="B26"/>
      <c r="L26" s="5">
        <v>2.95</v>
      </c>
      <c r="P26" s="25">
        <v>10479</v>
      </c>
      <c r="Q26" s="26">
        <v>44877</v>
      </c>
      <c r="R26" s="27" t="s">
        <v>17</v>
      </c>
      <c r="S26" s="28">
        <v>4.99</v>
      </c>
      <c r="T26" s="29">
        <v>200.4</v>
      </c>
      <c r="U26" s="27" t="s">
        <v>18</v>
      </c>
      <c r="V26" s="27" t="s">
        <v>22</v>
      </c>
      <c r="W26" s="27" t="s">
        <v>15</v>
      </c>
      <c r="X26" s="30" t="s">
        <v>16</v>
      </c>
    </row>
    <row r="27" spans="2:24" x14ac:dyDescent="0.25">
      <c r="B27"/>
      <c r="L27" s="5">
        <v>4.99</v>
      </c>
      <c r="P27" s="19">
        <v>10480</v>
      </c>
      <c r="Q27" s="20">
        <v>44878</v>
      </c>
      <c r="R27" s="21" t="s">
        <v>21</v>
      </c>
      <c r="S27" s="22">
        <v>12.99</v>
      </c>
      <c r="T27" s="23">
        <v>508.08</v>
      </c>
      <c r="U27" s="21" t="s">
        <v>18</v>
      </c>
      <c r="V27" s="21" t="s">
        <v>22</v>
      </c>
      <c r="W27" s="21" t="s">
        <v>15</v>
      </c>
      <c r="X27" s="24" t="s">
        <v>16</v>
      </c>
    </row>
    <row r="28" spans="2:24" x14ac:dyDescent="0.25">
      <c r="B28" s="6" t="s">
        <v>30</v>
      </c>
      <c r="C28" t="s">
        <v>46</v>
      </c>
      <c r="L28" s="5">
        <v>12.99</v>
      </c>
      <c r="P28" s="25">
        <v>10481</v>
      </c>
      <c r="Q28" s="26">
        <v>44878</v>
      </c>
      <c r="R28" s="27" t="s">
        <v>25</v>
      </c>
      <c r="S28" s="28">
        <v>9.9499999999999993</v>
      </c>
      <c r="T28" s="29">
        <v>201.01</v>
      </c>
      <c r="U28" s="27" t="s">
        <v>18</v>
      </c>
      <c r="V28" s="27" t="s">
        <v>22</v>
      </c>
      <c r="W28" s="27" t="s">
        <v>15</v>
      </c>
      <c r="X28" s="30" t="s">
        <v>16</v>
      </c>
    </row>
    <row r="29" spans="2:24" x14ac:dyDescent="0.25">
      <c r="B29" s="7" t="s">
        <v>39</v>
      </c>
      <c r="C29" s="31">
        <v>211058369.28690025</v>
      </c>
      <c r="E29" s="8" t="s">
        <v>30</v>
      </c>
      <c r="F29" s="11" t="s">
        <v>37</v>
      </c>
      <c r="H29" s="1" t="s">
        <v>44</v>
      </c>
      <c r="I29" s="1" t="s">
        <v>45</v>
      </c>
      <c r="L29" s="5">
        <v>9.9499999999999993</v>
      </c>
      <c r="P29" s="19">
        <v>10482</v>
      </c>
      <c r="Q29" s="20">
        <v>44878</v>
      </c>
      <c r="R29" s="21" t="s">
        <v>9</v>
      </c>
      <c r="S29" s="22">
        <v>25.5</v>
      </c>
      <c r="T29" s="23">
        <v>630.37</v>
      </c>
      <c r="U29" s="21" t="s">
        <v>18</v>
      </c>
      <c r="V29" s="21" t="s">
        <v>22</v>
      </c>
      <c r="W29" s="21" t="s">
        <v>19</v>
      </c>
      <c r="X29" s="24" t="s">
        <v>20</v>
      </c>
    </row>
    <row r="30" spans="2:24" x14ac:dyDescent="0.25">
      <c r="B30" s="7" t="s">
        <v>42</v>
      </c>
      <c r="C30" s="31">
        <v>830938.4617594498</v>
      </c>
      <c r="E30" s="12" t="s">
        <v>34</v>
      </c>
      <c r="F30" s="13">
        <v>27674.4512</v>
      </c>
      <c r="H30" t="s">
        <v>41</v>
      </c>
      <c r="I30" s="4">
        <f>SUM($S:$S)</f>
        <v>1803.9900000000043</v>
      </c>
      <c r="L30" s="5">
        <v>25.5</v>
      </c>
      <c r="P30" s="25">
        <v>10486</v>
      </c>
      <c r="Q30" s="26">
        <v>44879</v>
      </c>
      <c r="R30" s="27" t="s">
        <v>25</v>
      </c>
      <c r="S30" s="28">
        <v>29.05</v>
      </c>
      <c r="T30" s="29">
        <v>201.01</v>
      </c>
      <c r="U30" s="27" t="s">
        <v>18</v>
      </c>
      <c r="V30" s="27" t="s">
        <v>22</v>
      </c>
      <c r="W30" s="27" t="s">
        <v>19</v>
      </c>
      <c r="X30" s="30" t="s">
        <v>20</v>
      </c>
    </row>
    <row r="31" spans="2:24" x14ac:dyDescent="0.25">
      <c r="B31" s="7" t="s">
        <v>43</v>
      </c>
      <c r="C31" s="31">
        <v>254</v>
      </c>
      <c r="E31" s="12" t="s">
        <v>35</v>
      </c>
      <c r="F31" s="13">
        <v>17839.344499999999</v>
      </c>
      <c r="H31" t="s">
        <v>40</v>
      </c>
      <c r="I31" s="3">
        <f>SUM($T:$T)</f>
        <v>116995.30999999987</v>
      </c>
      <c r="L31" s="5">
        <v>29.05</v>
      </c>
      <c r="P31" s="19">
        <v>10487</v>
      </c>
      <c r="Q31" s="20">
        <v>44879</v>
      </c>
      <c r="R31" s="21" t="s">
        <v>9</v>
      </c>
      <c r="S31" s="22">
        <v>3.49</v>
      </c>
      <c r="T31" s="23">
        <v>630.37</v>
      </c>
      <c r="U31" s="21" t="s">
        <v>18</v>
      </c>
      <c r="V31" s="21" t="s">
        <v>22</v>
      </c>
      <c r="W31" s="21" t="s">
        <v>19</v>
      </c>
      <c r="X31" s="24" t="s">
        <v>20</v>
      </c>
    </row>
    <row r="32" spans="2:24" x14ac:dyDescent="0.25">
      <c r="B32" s="7" t="s">
        <v>40</v>
      </c>
      <c r="C32" s="31">
        <v>116995.30999999987</v>
      </c>
      <c r="E32" s="12" t="s">
        <v>36</v>
      </c>
      <c r="F32" s="13">
        <v>17599.976999999999</v>
      </c>
      <c r="H32" t="s">
        <v>39</v>
      </c>
      <c r="I32" s="4">
        <f>I31*I30</f>
        <v>211058369.28690025</v>
      </c>
      <c r="L32" s="5">
        <v>3.49</v>
      </c>
      <c r="P32" s="25">
        <v>10488</v>
      </c>
      <c r="Q32" s="26">
        <v>44879</v>
      </c>
      <c r="R32" s="27" t="s">
        <v>14</v>
      </c>
      <c r="S32" s="28">
        <v>2.95</v>
      </c>
      <c r="T32" s="29">
        <v>677.97</v>
      </c>
      <c r="U32" s="27" t="s">
        <v>18</v>
      </c>
      <c r="V32" s="27" t="s">
        <v>22</v>
      </c>
      <c r="W32" s="27" t="s">
        <v>19</v>
      </c>
      <c r="X32" s="30" t="s">
        <v>20</v>
      </c>
    </row>
    <row r="33" spans="2:24" x14ac:dyDescent="0.25">
      <c r="B33" s="7" t="s">
        <v>41</v>
      </c>
      <c r="C33" s="31">
        <v>1803.9900000000043</v>
      </c>
      <c r="E33" s="14" t="s">
        <v>32</v>
      </c>
      <c r="F33" s="15">
        <f>SUM(F30:F32)</f>
        <v>63113.772700000001</v>
      </c>
      <c r="H33" t="s">
        <v>42</v>
      </c>
      <c r="I33" s="4">
        <f>I32/I34</f>
        <v>830938.4617594498</v>
      </c>
      <c r="L33" s="5">
        <v>2.95</v>
      </c>
      <c r="P33" s="19">
        <v>10489</v>
      </c>
      <c r="Q33" s="20">
        <v>44879</v>
      </c>
      <c r="R33" s="21" t="s">
        <v>17</v>
      </c>
      <c r="S33" s="22">
        <v>4.99</v>
      </c>
      <c r="T33" s="23">
        <v>200.4</v>
      </c>
      <c r="U33" s="21" t="s">
        <v>18</v>
      </c>
      <c r="V33" s="21" t="s">
        <v>22</v>
      </c>
      <c r="W33" s="21" t="s">
        <v>15</v>
      </c>
      <c r="X33" s="24" t="s">
        <v>16</v>
      </c>
    </row>
    <row r="34" spans="2:24" x14ac:dyDescent="0.25">
      <c r="B34" s="7" t="s">
        <v>32</v>
      </c>
      <c r="C34" s="31">
        <v>212008361.04865971</v>
      </c>
      <c r="H34" t="s">
        <v>43</v>
      </c>
      <c r="I34">
        <f>COUNT(T:T)</f>
        <v>254</v>
      </c>
      <c r="L34" s="5">
        <v>4.99</v>
      </c>
      <c r="P34" s="25">
        <v>10490</v>
      </c>
      <c r="Q34" s="26">
        <v>44880</v>
      </c>
      <c r="R34" s="27" t="s">
        <v>21</v>
      </c>
      <c r="S34" s="28">
        <v>12.99</v>
      </c>
      <c r="T34" s="29">
        <v>508.08</v>
      </c>
      <c r="U34" s="27" t="s">
        <v>18</v>
      </c>
      <c r="V34" s="27" t="s">
        <v>22</v>
      </c>
      <c r="W34" s="27" t="s">
        <v>15</v>
      </c>
      <c r="X34" s="30" t="s">
        <v>16</v>
      </c>
    </row>
    <row r="35" spans="2:24" x14ac:dyDescent="0.25">
      <c r="B35"/>
      <c r="L35" s="5">
        <v>12.99</v>
      </c>
      <c r="P35" s="19">
        <v>10491</v>
      </c>
      <c r="Q35" s="20">
        <v>44880</v>
      </c>
      <c r="R35" s="21" t="s">
        <v>25</v>
      </c>
      <c r="S35" s="22">
        <v>9.9499999999999993</v>
      </c>
      <c r="T35" s="23">
        <v>201.01</v>
      </c>
      <c r="U35" s="21" t="s">
        <v>18</v>
      </c>
      <c r="V35" s="21" t="s">
        <v>22</v>
      </c>
      <c r="W35" s="21" t="s">
        <v>15</v>
      </c>
      <c r="X35" s="24" t="s">
        <v>16</v>
      </c>
    </row>
    <row r="36" spans="2:24" x14ac:dyDescent="0.25">
      <c r="L36" s="5">
        <v>9.9499999999999993</v>
      </c>
      <c r="P36" s="25">
        <v>10492</v>
      </c>
      <c r="Q36" s="26">
        <v>44880</v>
      </c>
      <c r="R36" s="27" t="s">
        <v>9</v>
      </c>
      <c r="S36" s="28">
        <v>3.49</v>
      </c>
      <c r="T36" s="29">
        <v>573.07000000000005</v>
      </c>
      <c r="U36" s="27" t="s">
        <v>18</v>
      </c>
      <c r="V36" s="27" t="s">
        <v>22</v>
      </c>
      <c r="W36" s="27" t="s">
        <v>15</v>
      </c>
      <c r="X36" s="30" t="s">
        <v>16</v>
      </c>
    </row>
    <row r="37" spans="2:24" x14ac:dyDescent="0.25">
      <c r="L37" s="5">
        <v>3.49</v>
      </c>
      <c r="P37" s="19">
        <v>10493</v>
      </c>
      <c r="Q37" s="20">
        <v>44880</v>
      </c>
      <c r="R37" s="21" t="s">
        <v>14</v>
      </c>
      <c r="S37" s="22">
        <v>2.95</v>
      </c>
      <c r="T37" s="23">
        <v>677.97</v>
      </c>
      <c r="U37" s="21" t="s">
        <v>18</v>
      </c>
      <c r="V37" s="21" t="s">
        <v>22</v>
      </c>
      <c r="W37" s="21" t="s">
        <v>15</v>
      </c>
      <c r="X37" s="24" t="s">
        <v>16</v>
      </c>
    </row>
    <row r="38" spans="2:24" x14ac:dyDescent="0.25">
      <c r="L38" s="5">
        <v>2.95</v>
      </c>
      <c r="P38" s="25">
        <v>10494</v>
      </c>
      <c r="Q38" s="26">
        <v>44880</v>
      </c>
      <c r="R38" s="27" t="s">
        <v>17</v>
      </c>
      <c r="S38" s="28">
        <v>4.99</v>
      </c>
      <c r="T38" s="29">
        <v>200.4</v>
      </c>
      <c r="U38" s="27" t="s">
        <v>18</v>
      </c>
      <c r="V38" s="27" t="s">
        <v>22</v>
      </c>
      <c r="W38" s="27" t="s">
        <v>15</v>
      </c>
      <c r="X38" s="30" t="s">
        <v>16</v>
      </c>
    </row>
    <row r="39" spans="2:24" x14ac:dyDescent="0.25">
      <c r="G39" s="6" t="s">
        <v>30</v>
      </c>
      <c r="H39" s="10" t="s">
        <v>47</v>
      </c>
      <c r="L39" s="5">
        <v>4.99</v>
      </c>
      <c r="P39" s="19">
        <v>10495</v>
      </c>
      <c r="Q39" s="20">
        <v>44881</v>
      </c>
      <c r="R39" s="21" t="s">
        <v>21</v>
      </c>
      <c r="S39" s="22">
        <v>12.99</v>
      </c>
      <c r="T39" s="23">
        <v>508.08</v>
      </c>
      <c r="U39" s="21" t="s">
        <v>18</v>
      </c>
      <c r="V39" s="21" t="s">
        <v>22</v>
      </c>
      <c r="W39" s="21" t="s">
        <v>15</v>
      </c>
      <c r="X39" s="24" t="s">
        <v>16</v>
      </c>
    </row>
    <row r="40" spans="2:24" x14ac:dyDescent="0.25">
      <c r="G40" s="7" t="s">
        <v>28</v>
      </c>
      <c r="H40" s="31">
        <v>61</v>
      </c>
      <c r="L40" s="5">
        <v>12.99</v>
      </c>
      <c r="P40" s="25">
        <v>10496</v>
      </c>
      <c r="Q40" s="26">
        <v>44881</v>
      </c>
      <c r="R40" s="27" t="s">
        <v>25</v>
      </c>
      <c r="S40" s="28">
        <v>9.9499999999999993</v>
      </c>
      <c r="T40" s="29">
        <v>201.01</v>
      </c>
      <c r="U40" s="27" t="s">
        <v>18</v>
      </c>
      <c r="V40" s="27" t="s">
        <v>22</v>
      </c>
      <c r="W40" s="27" t="s">
        <v>15</v>
      </c>
      <c r="X40" s="30" t="s">
        <v>16</v>
      </c>
    </row>
    <row r="41" spans="2:24" x14ac:dyDescent="0.25">
      <c r="G41" s="7" t="s">
        <v>18</v>
      </c>
      <c r="H41" s="31">
        <v>86</v>
      </c>
      <c r="L41" s="5">
        <v>9.9499999999999993</v>
      </c>
      <c r="P41" s="19">
        <v>10497</v>
      </c>
      <c r="Q41" s="20">
        <v>44881</v>
      </c>
      <c r="R41" s="21" t="s">
        <v>9</v>
      </c>
      <c r="S41" s="22">
        <v>3.49</v>
      </c>
      <c r="T41" s="23">
        <v>573.07000000000005</v>
      </c>
      <c r="U41" s="21" t="s">
        <v>18</v>
      </c>
      <c r="V41" s="21" t="s">
        <v>22</v>
      </c>
      <c r="W41" s="21" t="s">
        <v>15</v>
      </c>
      <c r="X41" s="24" t="s">
        <v>16</v>
      </c>
    </row>
    <row r="42" spans="2:24" x14ac:dyDescent="0.25">
      <c r="G42" s="7" t="s">
        <v>10</v>
      </c>
      <c r="H42" s="31">
        <v>107</v>
      </c>
      <c r="L42" s="5">
        <v>3.49</v>
      </c>
      <c r="P42" s="25">
        <v>10498</v>
      </c>
      <c r="Q42" s="26">
        <v>44881</v>
      </c>
      <c r="R42" s="27" t="s">
        <v>14</v>
      </c>
      <c r="S42" s="28">
        <v>2.95</v>
      </c>
      <c r="T42" s="29">
        <v>677.97</v>
      </c>
      <c r="U42" s="27" t="s">
        <v>28</v>
      </c>
      <c r="V42" s="27" t="s">
        <v>22</v>
      </c>
      <c r="W42" s="27" t="s">
        <v>15</v>
      </c>
      <c r="X42" s="30" t="s">
        <v>16</v>
      </c>
    </row>
    <row r="43" spans="2:24" x14ac:dyDescent="0.25">
      <c r="G43" s="7" t="s">
        <v>32</v>
      </c>
      <c r="H43" s="31">
        <v>254</v>
      </c>
      <c r="L43" s="5">
        <v>2.95</v>
      </c>
      <c r="P43" s="19">
        <v>10499</v>
      </c>
      <c r="Q43" s="20">
        <v>44881</v>
      </c>
      <c r="R43" s="21" t="s">
        <v>17</v>
      </c>
      <c r="S43" s="22">
        <v>4.99</v>
      </c>
      <c r="T43" s="23">
        <v>200.4</v>
      </c>
      <c r="U43" s="21" t="s">
        <v>28</v>
      </c>
      <c r="V43" s="21" t="s">
        <v>22</v>
      </c>
      <c r="W43" s="21" t="s">
        <v>15</v>
      </c>
      <c r="X43" s="24" t="s">
        <v>16</v>
      </c>
    </row>
    <row r="44" spans="2:24" x14ac:dyDescent="0.25">
      <c r="L44" s="5">
        <v>4.99</v>
      </c>
      <c r="P44" s="25">
        <v>10500</v>
      </c>
      <c r="Q44" s="26">
        <v>44882</v>
      </c>
      <c r="R44" s="27" t="s">
        <v>21</v>
      </c>
      <c r="S44" s="28">
        <v>12.99</v>
      </c>
      <c r="T44" s="29">
        <v>523.48</v>
      </c>
      <c r="U44" s="27" t="s">
        <v>28</v>
      </c>
      <c r="V44" s="27" t="s">
        <v>22</v>
      </c>
      <c r="W44" s="27" t="s">
        <v>15</v>
      </c>
      <c r="X44" s="30" t="s">
        <v>16</v>
      </c>
    </row>
    <row r="45" spans="2:24" x14ac:dyDescent="0.25">
      <c r="L45" s="5">
        <v>12.99</v>
      </c>
      <c r="P45" s="19">
        <v>10501</v>
      </c>
      <c r="Q45" s="20">
        <v>44882</v>
      </c>
      <c r="R45" s="21" t="s">
        <v>25</v>
      </c>
      <c r="S45" s="22">
        <v>9.9499999999999993</v>
      </c>
      <c r="T45" s="23">
        <v>201.01</v>
      </c>
      <c r="U45" s="21" t="s">
        <v>28</v>
      </c>
      <c r="V45" s="21" t="s">
        <v>22</v>
      </c>
      <c r="W45" s="21" t="s">
        <v>15</v>
      </c>
      <c r="X45" s="24" t="s">
        <v>16</v>
      </c>
    </row>
    <row r="46" spans="2:24" x14ac:dyDescent="0.25">
      <c r="L46" s="5">
        <v>9.9499999999999993</v>
      </c>
      <c r="P46" s="25">
        <v>10502</v>
      </c>
      <c r="Q46" s="26">
        <v>44882</v>
      </c>
      <c r="R46" s="27" t="s">
        <v>9</v>
      </c>
      <c r="S46" s="28">
        <v>3.49</v>
      </c>
      <c r="T46" s="29">
        <v>630.37</v>
      </c>
      <c r="U46" s="27" t="s">
        <v>28</v>
      </c>
      <c r="V46" s="27" t="s">
        <v>22</v>
      </c>
      <c r="W46" s="27" t="s">
        <v>15</v>
      </c>
      <c r="X46" s="30" t="s">
        <v>16</v>
      </c>
    </row>
    <row r="47" spans="2:24" x14ac:dyDescent="0.25">
      <c r="G47" s="6" t="s">
        <v>30</v>
      </c>
      <c r="H47" s="10" t="s">
        <v>31</v>
      </c>
      <c r="L47" s="5">
        <v>3.49</v>
      </c>
      <c r="P47" s="19">
        <v>10503</v>
      </c>
      <c r="Q47" s="20">
        <v>44882</v>
      </c>
      <c r="R47" s="21" t="s">
        <v>14</v>
      </c>
      <c r="S47" s="22">
        <v>2.95</v>
      </c>
      <c r="T47" s="23">
        <v>677.97</v>
      </c>
      <c r="U47" s="21" t="s">
        <v>28</v>
      </c>
      <c r="V47" s="21" t="s">
        <v>22</v>
      </c>
      <c r="W47" s="21" t="s">
        <v>15</v>
      </c>
      <c r="X47" s="24" t="s">
        <v>16</v>
      </c>
    </row>
    <row r="48" spans="2:24" x14ac:dyDescent="0.25">
      <c r="G48" s="7" t="s">
        <v>19</v>
      </c>
      <c r="H48" s="31">
        <v>546.62000000000012</v>
      </c>
      <c r="L48" s="5">
        <v>2.95</v>
      </c>
      <c r="P48" s="25">
        <v>10504</v>
      </c>
      <c r="Q48" s="26">
        <v>44882</v>
      </c>
      <c r="R48" s="27" t="s">
        <v>17</v>
      </c>
      <c r="S48" s="28">
        <v>4.99</v>
      </c>
      <c r="T48" s="29">
        <v>200.4</v>
      </c>
      <c r="U48" s="27" t="s">
        <v>28</v>
      </c>
      <c r="V48" s="27" t="s">
        <v>22</v>
      </c>
      <c r="W48" s="27" t="s">
        <v>15</v>
      </c>
      <c r="X48" s="30" t="s">
        <v>16</v>
      </c>
    </row>
    <row r="49" spans="7:24" x14ac:dyDescent="0.25">
      <c r="G49" s="7" t="s">
        <v>15</v>
      </c>
      <c r="H49" s="31">
        <v>331.82000000000005</v>
      </c>
      <c r="L49" s="5">
        <v>4.99</v>
      </c>
      <c r="P49" s="19">
        <v>10505</v>
      </c>
      <c r="Q49" s="20">
        <v>44883</v>
      </c>
      <c r="R49" s="21" t="s">
        <v>21</v>
      </c>
      <c r="S49" s="22">
        <v>12.99</v>
      </c>
      <c r="T49" s="23">
        <v>538.88</v>
      </c>
      <c r="U49" s="21" t="s">
        <v>28</v>
      </c>
      <c r="V49" s="21" t="s">
        <v>22</v>
      </c>
      <c r="W49" s="21" t="s">
        <v>15</v>
      </c>
      <c r="X49" s="24" t="s">
        <v>16</v>
      </c>
    </row>
    <row r="50" spans="7:24" x14ac:dyDescent="0.25">
      <c r="G50" s="7" t="s">
        <v>26</v>
      </c>
      <c r="H50" s="31">
        <v>198.28</v>
      </c>
      <c r="L50" s="5">
        <v>12.99</v>
      </c>
      <c r="P50" s="25">
        <v>10506</v>
      </c>
      <c r="Q50" s="26">
        <v>44883</v>
      </c>
      <c r="R50" s="27" t="s">
        <v>25</v>
      </c>
      <c r="S50" s="28">
        <v>9.9499999999999993</v>
      </c>
      <c r="T50" s="29">
        <v>201.01</v>
      </c>
      <c r="U50" s="27" t="s">
        <v>28</v>
      </c>
      <c r="V50" s="27" t="s">
        <v>22</v>
      </c>
      <c r="W50" s="27" t="s">
        <v>15</v>
      </c>
      <c r="X50" s="30" t="s">
        <v>16</v>
      </c>
    </row>
    <row r="51" spans="7:24" x14ac:dyDescent="0.25">
      <c r="G51" s="7" t="s">
        <v>12</v>
      </c>
      <c r="H51" s="31">
        <v>521.05000000000007</v>
      </c>
      <c r="L51" s="5">
        <v>9.9499999999999993</v>
      </c>
      <c r="P51" s="19">
        <v>10507</v>
      </c>
      <c r="Q51" s="20">
        <v>44883</v>
      </c>
      <c r="R51" s="21" t="s">
        <v>9</v>
      </c>
      <c r="S51" s="22">
        <v>3.49</v>
      </c>
      <c r="T51" s="23">
        <v>687.68</v>
      </c>
      <c r="U51" s="21" t="s">
        <v>28</v>
      </c>
      <c r="V51" s="21" t="s">
        <v>22</v>
      </c>
      <c r="W51" s="21" t="s">
        <v>15</v>
      </c>
      <c r="X51" s="24" t="s">
        <v>16</v>
      </c>
    </row>
    <row r="52" spans="7:24" x14ac:dyDescent="0.25">
      <c r="G52" s="7" t="s">
        <v>23</v>
      </c>
      <c r="H52" s="31">
        <v>206.22</v>
      </c>
      <c r="L52" s="5">
        <v>3.49</v>
      </c>
      <c r="P52" s="25">
        <v>10508</v>
      </c>
      <c r="Q52" s="26">
        <v>44883</v>
      </c>
      <c r="R52" s="27" t="s">
        <v>14</v>
      </c>
      <c r="S52" s="28">
        <v>2.95</v>
      </c>
      <c r="T52" s="29">
        <v>677.97</v>
      </c>
      <c r="U52" s="27" t="s">
        <v>28</v>
      </c>
      <c r="V52" s="27" t="s">
        <v>22</v>
      </c>
      <c r="W52" s="27" t="s">
        <v>15</v>
      </c>
      <c r="X52" s="30" t="s">
        <v>16</v>
      </c>
    </row>
    <row r="53" spans="7:24" x14ac:dyDescent="0.25">
      <c r="G53" s="7" t="s">
        <v>32</v>
      </c>
      <c r="H53" s="31">
        <v>1803.9900000000005</v>
      </c>
      <c r="L53" s="5">
        <v>2.95</v>
      </c>
      <c r="P53" s="19">
        <v>10509</v>
      </c>
      <c r="Q53" s="20">
        <v>44883</v>
      </c>
      <c r="R53" s="21" t="s">
        <v>17</v>
      </c>
      <c r="S53" s="22">
        <v>4.99</v>
      </c>
      <c r="T53" s="23">
        <v>200.4</v>
      </c>
      <c r="U53" s="21" t="s">
        <v>28</v>
      </c>
      <c r="V53" s="21" t="s">
        <v>22</v>
      </c>
      <c r="W53" s="21" t="s">
        <v>15</v>
      </c>
      <c r="X53" s="24" t="s">
        <v>16</v>
      </c>
    </row>
    <row r="54" spans="7:24" x14ac:dyDescent="0.25">
      <c r="L54" s="5">
        <v>4.99</v>
      </c>
      <c r="P54" s="25">
        <v>10510</v>
      </c>
      <c r="Q54" s="26">
        <v>44884</v>
      </c>
      <c r="R54" s="27" t="s">
        <v>21</v>
      </c>
      <c r="S54" s="28">
        <v>12.99</v>
      </c>
      <c r="T54" s="29">
        <v>508.08</v>
      </c>
      <c r="U54" s="27" t="s">
        <v>28</v>
      </c>
      <c r="V54" s="27" t="s">
        <v>22</v>
      </c>
      <c r="W54" s="27" t="s">
        <v>15</v>
      </c>
      <c r="X54" s="30" t="s">
        <v>16</v>
      </c>
    </row>
    <row r="55" spans="7:24" x14ac:dyDescent="0.25">
      <c r="L55" s="5">
        <v>12.99</v>
      </c>
      <c r="P55" s="19">
        <v>10511</v>
      </c>
      <c r="Q55" s="20">
        <v>44884</v>
      </c>
      <c r="R55" s="21" t="s">
        <v>25</v>
      </c>
      <c r="S55" s="22">
        <v>9.9499999999999993</v>
      </c>
      <c r="T55" s="23">
        <v>201.01</v>
      </c>
      <c r="U55" s="21" t="s">
        <v>28</v>
      </c>
      <c r="V55" s="21" t="s">
        <v>22</v>
      </c>
      <c r="W55" s="21" t="s">
        <v>19</v>
      </c>
      <c r="X55" s="24" t="s">
        <v>20</v>
      </c>
    </row>
    <row r="56" spans="7:24" x14ac:dyDescent="0.25">
      <c r="L56" s="5">
        <v>9.9499999999999993</v>
      </c>
      <c r="P56" s="25">
        <v>10512</v>
      </c>
      <c r="Q56" s="26">
        <v>44884</v>
      </c>
      <c r="R56" s="27" t="s">
        <v>9</v>
      </c>
      <c r="S56" s="28">
        <v>3.49</v>
      </c>
      <c r="T56" s="29">
        <v>687.68</v>
      </c>
      <c r="U56" s="27" t="s">
        <v>28</v>
      </c>
      <c r="V56" s="27" t="s">
        <v>22</v>
      </c>
      <c r="W56" s="27" t="s">
        <v>19</v>
      </c>
      <c r="X56" s="30" t="s">
        <v>20</v>
      </c>
    </row>
    <row r="57" spans="7:24" x14ac:dyDescent="0.25">
      <c r="L57" s="5">
        <v>3.49</v>
      </c>
      <c r="P57" s="19">
        <v>10513</v>
      </c>
      <c r="Q57" s="20">
        <v>44884</v>
      </c>
      <c r="R57" s="21" t="s">
        <v>14</v>
      </c>
      <c r="S57" s="22">
        <v>2.95</v>
      </c>
      <c r="T57" s="23">
        <v>677.97</v>
      </c>
      <c r="U57" s="21" t="s">
        <v>28</v>
      </c>
      <c r="V57" s="21" t="s">
        <v>29</v>
      </c>
      <c r="W57" s="21" t="s">
        <v>19</v>
      </c>
      <c r="X57" s="24" t="s">
        <v>20</v>
      </c>
    </row>
    <row r="58" spans="7:24" x14ac:dyDescent="0.25">
      <c r="L58" s="5">
        <v>2.95</v>
      </c>
      <c r="P58" s="25">
        <v>10514</v>
      </c>
      <c r="Q58" s="26">
        <v>44884</v>
      </c>
      <c r="R58" s="27" t="s">
        <v>17</v>
      </c>
      <c r="S58" s="28">
        <v>4.99</v>
      </c>
      <c r="T58" s="29">
        <v>200.4</v>
      </c>
      <c r="U58" s="27" t="s">
        <v>28</v>
      </c>
      <c r="V58" s="27" t="s">
        <v>29</v>
      </c>
      <c r="W58" s="27" t="s">
        <v>19</v>
      </c>
      <c r="X58" s="30" t="s">
        <v>20</v>
      </c>
    </row>
    <row r="59" spans="7:24" x14ac:dyDescent="0.25">
      <c r="L59" s="5">
        <v>4.99</v>
      </c>
      <c r="P59" s="19">
        <v>10515</v>
      </c>
      <c r="Q59" s="20">
        <v>44885</v>
      </c>
      <c r="R59" s="21" t="s">
        <v>21</v>
      </c>
      <c r="S59" s="22">
        <v>12.99</v>
      </c>
      <c r="T59" s="23">
        <v>477.29</v>
      </c>
      <c r="U59" s="21" t="s">
        <v>28</v>
      </c>
      <c r="V59" s="21" t="s">
        <v>29</v>
      </c>
      <c r="W59" s="21" t="s">
        <v>19</v>
      </c>
      <c r="X59" s="24" t="s">
        <v>20</v>
      </c>
    </row>
    <row r="60" spans="7:24" x14ac:dyDescent="0.25">
      <c r="L60" s="5">
        <v>12.99</v>
      </c>
      <c r="P60" s="25">
        <v>10516</v>
      </c>
      <c r="Q60" s="26">
        <v>44885</v>
      </c>
      <c r="R60" s="27" t="s">
        <v>25</v>
      </c>
      <c r="S60" s="28">
        <v>9.9499999999999993</v>
      </c>
      <c r="T60" s="29">
        <v>201.01</v>
      </c>
      <c r="U60" s="27" t="s">
        <v>28</v>
      </c>
      <c r="V60" s="27" t="s">
        <v>29</v>
      </c>
      <c r="W60" s="27" t="s">
        <v>19</v>
      </c>
      <c r="X60" s="30" t="s">
        <v>20</v>
      </c>
    </row>
    <row r="61" spans="7:24" x14ac:dyDescent="0.25">
      <c r="L61" s="5">
        <v>9.9499999999999993</v>
      </c>
      <c r="P61" s="19">
        <v>10483</v>
      </c>
      <c r="Q61" s="20">
        <v>44878</v>
      </c>
      <c r="R61" s="21" t="s">
        <v>14</v>
      </c>
      <c r="S61" s="22">
        <v>2.95</v>
      </c>
      <c r="T61" s="23">
        <v>677.97</v>
      </c>
      <c r="U61" s="21" t="s">
        <v>18</v>
      </c>
      <c r="V61" s="21" t="s">
        <v>22</v>
      </c>
      <c r="W61" s="21" t="s">
        <v>19</v>
      </c>
      <c r="X61" s="24" t="s">
        <v>20</v>
      </c>
    </row>
    <row r="62" spans="7:24" x14ac:dyDescent="0.25">
      <c r="L62" s="5">
        <v>2.95</v>
      </c>
      <c r="P62" s="25">
        <v>10484</v>
      </c>
      <c r="Q62" s="26">
        <v>44878</v>
      </c>
      <c r="R62" s="27" t="s">
        <v>17</v>
      </c>
      <c r="S62" s="28">
        <v>4.99</v>
      </c>
      <c r="T62" s="29">
        <v>200.4</v>
      </c>
      <c r="U62" s="27" t="s">
        <v>18</v>
      </c>
      <c r="V62" s="27" t="s">
        <v>22</v>
      </c>
      <c r="W62" s="27" t="s">
        <v>19</v>
      </c>
      <c r="X62" s="30" t="s">
        <v>20</v>
      </c>
    </row>
    <row r="63" spans="7:24" x14ac:dyDescent="0.25">
      <c r="L63" s="5">
        <v>4.99</v>
      </c>
      <c r="P63" s="19">
        <v>10485</v>
      </c>
      <c r="Q63" s="20">
        <v>44879</v>
      </c>
      <c r="R63" s="21" t="s">
        <v>21</v>
      </c>
      <c r="S63" s="22">
        <v>12.99</v>
      </c>
      <c r="T63" s="23">
        <v>523.48</v>
      </c>
      <c r="U63" s="21" t="s">
        <v>18</v>
      </c>
      <c r="V63" s="21" t="s">
        <v>22</v>
      </c>
      <c r="W63" s="21" t="s">
        <v>19</v>
      </c>
      <c r="X63" s="24" t="s">
        <v>20</v>
      </c>
    </row>
    <row r="64" spans="7:24" x14ac:dyDescent="0.25">
      <c r="L64" s="5">
        <v>12.99</v>
      </c>
      <c r="P64" s="25">
        <v>10520</v>
      </c>
      <c r="Q64" s="26">
        <v>44886</v>
      </c>
      <c r="R64" s="27" t="s">
        <v>21</v>
      </c>
      <c r="S64" s="28">
        <v>12.99</v>
      </c>
      <c r="T64" s="29">
        <v>492.69</v>
      </c>
      <c r="U64" s="27" t="s">
        <v>28</v>
      </c>
      <c r="V64" s="27" t="s">
        <v>29</v>
      </c>
      <c r="W64" s="27" t="s">
        <v>26</v>
      </c>
      <c r="X64" s="30" t="s">
        <v>27</v>
      </c>
    </row>
    <row r="65" spans="12:24" x14ac:dyDescent="0.25">
      <c r="L65" s="5">
        <v>12.99</v>
      </c>
      <c r="P65" s="19">
        <v>10521</v>
      </c>
      <c r="Q65" s="20">
        <v>44886</v>
      </c>
      <c r="R65" s="21" t="s">
        <v>25</v>
      </c>
      <c r="S65" s="22">
        <v>9.9499999999999993</v>
      </c>
      <c r="T65" s="23">
        <v>201.01</v>
      </c>
      <c r="U65" s="21" t="s">
        <v>28</v>
      </c>
      <c r="V65" s="21" t="s">
        <v>29</v>
      </c>
      <c r="W65" s="21" t="s">
        <v>26</v>
      </c>
      <c r="X65" s="24" t="s">
        <v>27</v>
      </c>
    </row>
    <row r="66" spans="12:24" x14ac:dyDescent="0.25">
      <c r="L66" s="5">
        <v>9.9499999999999993</v>
      </c>
      <c r="P66" s="25">
        <v>10522</v>
      </c>
      <c r="Q66" s="26">
        <v>44886</v>
      </c>
      <c r="R66" s="27" t="s">
        <v>9</v>
      </c>
      <c r="S66" s="28">
        <v>3.49</v>
      </c>
      <c r="T66" s="29">
        <v>687.68</v>
      </c>
      <c r="U66" s="27" t="s">
        <v>28</v>
      </c>
      <c r="V66" s="27" t="s">
        <v>29</v>
      </c>
      <c r="W66" s="27" t="s">
        <v>26</v>
      </c>
      <c r="X66" s="30" t="s">
        <v>27</v>
      </c>
    </row>
    <row r="67" spans="12:24" x14ac:dyDescent="0.25">
      <c r="L67" s="5">
        <v>3.49</v>
      </c>
      <c r="P67" s="19">
        <v>10523</v>
      </c>
      <c r="Q67" s="20">
        <v>44886</v>
      </c>
      <c r="R67" s="21" t="s">
        <v>14</v>
      </c>
      <c r="S67" s="22">
        <v>2.95</v>
      </c>
      <c r="T67" s="23">
        <v>745.76</v>
      </c>
      <c r="U67" s="21" t="s">
        <v>28</v>
      </c>
      <c r="V67" s="21" t="s">
        <v>29</v>
      </c>
      <c r="W67" s="21" t="s">
        <v>26</v>
      </c>
      <c r="X67" s="24" t="s">
        <v>27</v>
      </c>
    </row>
    <row r="68" spans="12:24" x14ac:dyDescent="0.25">
      <c r="L68" s="5">
        <v>2.95</v>
      </c>
      <c r="P68" s="25">
        <v>10524</v>
      </c>
      <c r="Q68" s="26">
        <v>44886</v>
      </c>
      <c r="R68" s="27" t="s">
        <v>17</v>
      </c>
      <c r="S68" s="28">
        <v>4.99</v>
      </c>
      <c r="T68" s="29">
        <v>200.4</v>
      </c>
      <c r="U68" s="27" t="s">
        <v>28</v>
      </c>
      <c r="V68" s="27" t="s">
        <v>29</v>
      </c>
      <c r="W68" s="27" t="s">
        <v>26</v>
      </c>
      <c r="X68" s="30" t="s">
        <v>27</v>
      </c>
    </row>
    <row r="69" spans="12:24" x14ac:dyDescent="0.25">
      <c r="L69" s="5">
        <v>4.99</v>
      </c>
      <c r="P69" s="19">
        <v>10525</v>
      </c>
      <c r="Q69" s="20">
        <v>44887</v>
      </c>
      <c r="R69" s="21" t="s">
        <v>21</v>
      </c>
      <c r="S69" s="22">
        <v>12.99</v>
      </c>
      <c r="T69" s="23">
        <v>461.89</v>
      </c>
      <c r="U69" s="21" t="s">
        <v>28</v>
      </c>
      <c r="V69" s="21" t="s">
        <v>29</v>
      </c>
      <c r="W69" s="21" t="s">
        <v>26</v>
      </c>
      <c r="X69" s="24" t="s">
        <v>27</v>
      </c>
    </row>
    <row r="70" spans="12:24" x14ac:dyDescent="0.25">
      <c r="L70" s="5">
        <v>12.99</v>
      </c>
      <c r="P70" s="25">
        <v>10526</v>
      </c>
      <c r="Q70" s="26">
        <v>44887</v>
      </c>
      <c r="R70" s="27" t="s">
        <v>25</v>
      </c>
      <c r="S70" s="28">
        <v>9.9499999999999993</v>
      </c>
      <c r="T70" s="29">
        <v>201.01</v>
      </c>
      <c r="U70" s="27" t="s">
        <v>28</v>
      </c>
      <c r="V70" s="27" t="s">
        <v>29</v>
      </c>
      <c r="W70" s="27" t="s">
        <v>26</v>
      </c>
      <c r="X70" s="30" t="s">
        <v>27</v>
      </c>
    </row>
    <row r="71" spans="12:24" x14ac:dyDescent="0.25">
      <c r="L71" s="5">
        <v>9.9499999999999993</v>
      </c>
      <c r="P71" s="19">
        <v>10527</v>
      </c>
      <c r="Q71" s="20">
        <v>44887</v>
      </c>
      <c r="R71" s="21" t="s">
        <v>9</v>
      </c>
      <c r="S71" s="22">
        <v>3.49</v>
      </c>
      <c r="T71" s="23">
        <v>687.68</v>
      </c>
      <c r="U71" s="21" t="s">
        <v>28</v>
      </c>
      <c r="V71" s="21" t="s">
        <v>29</v>
      </c>
      <c r="W71" s="21" t="s">
        <v>26</v>
      </c>
      <c r="X71" s="24" t="s">
        <v>27</v>
      </c>
    </row>
    <row r="72" spans="12:24" x14ac:dyDescent="0.25">
      <c r="L72" s="5">
        <v>3.49</v>
      </c>
      <c r="P72" s="25">
        <v>10528</v>
      </c>
      <c r="Q72" s="26">
        <v>44887</v>
      </c>
      <c r="R72" s="27" t="s">
        <v>14</v>
      </c>
      <c r="S72" s="28">
        <v>2.95</v>
      </c>
      <c r="T72" s="29">
        <v>745.76</v>
      </c>
      <c r="U72" s="27" t="s">
        <v>28</v>
      </c>
      <c r="V72" s="27" t="s">
        <v>29</v>
      </c>
      <c r="W72" s="27" t="s">
        <v>26</v>
      </c>
      <c r="X72" s="30" t="s">
        <v>27</v>
      </c>
    </row>
    <row r="73" spans="12:24" x14ac:dyDescent="0.25">
      <c r="L73" s="5">
        <v>2.95</v>
      </c>
      <c r="P73" s="19">
        <v>10529</v>
      </c>
      <c r="Q73" s="20">
        <v>44887</v>
      </c>
      <c r="R73" s="21" t="s">
        <v>17</v>
      </c>
      <c r="S73" s="22">
        <v>4.99</v>
      </c>
      <c r="T73" s="23">
        <v>200.4</v>
      </c>
      <c r="U73" s="21" t="s">
        <v>28</v>
      </c>
      <c r="V73" s="21" t="s">
        <v>29</v>
      </c>
      <c r="W73" s="21" t="s">
        <v>26</v>
      </c>
      <c r="X73" s="24" t="s">
        <v>27</v>
      </c>
    </row>
    <row r="74" spans="12:24" x14ac:dyDescent="0.25">
      <c r="L74" s="5">
        <v>4.99</v>
      </c>
      <c r="P74" s="25">
        <v>10530</v>
      </c>
      <c r="Q74" s="26">
        <v>44888</v>
      </c>
      <c r="R74" s="27" t="s">
        <v>21</v>
      </c>
      <c r="S74" s="28">
        <v>12.99</v>
      </c>
      <c r="T74" s="29">
        <v>477.29</v>
      </c>
      <c r="U74" s="27" t="s">
        <v>28</v>
      </c>
      <c r="V74" s="27" t="s">
        <v>29</v>
      </c>
      <c r="W74" s="27" t="s">
        <v>26</v>
      </c>
      <c r="X74" s="30" t="s">
        <v>27</v>
      </c>
    </row>
    <row r="75" spans="12:24" x14ac:dyDescent="0.25">
      <c r="L75" s="5">
        <v>12.99</v>
      </c>
      <c r="P75" s="19">
        <v>10531</v>
      </c>
      <c r="Q75" s="20">
        <v>44888</v>
      </c>
      <c r="R75" s="21" t="s">
        <v>25</v>
      </c>
      <c r="S75" s="22">
        <v>9.9499999999999993</v>
      </c>
      <c r="T75" s="23">
        <v>201.01</v>
      </c>
      <c r="U75" s="21" t="s">
        <v>28</v>
      </c>
      <c r="V75" s="21" t="s">
        <v>29</v>
      </c>
      <c r="W75" s="21" t="s">
        <v>26</v>
      </c>
      <c r="X75" s="24" t="s">
        <v>27</v>
      </c>
    </row>
    <row r="76" spans="12:24" x14ac:dyDescent="0.25">
      <c r="L76" s="5">
        <v>9.9499999999999993</v>
      </c>
      <c r="P76" s="25">
        <v>10532</v>
      </c>
      <c r="Q76" s="26">
        <v>44888</v>
      </c>
      <c r="R76" s="27" t="s">
        <v>9</v>
      </c>
      <c r="S76" s="28">
        <v>3.49</v>
      </c>
      <c r="T76" s="29">
        <v>687.68</v>
      </c>
      <c r="U76" s="27" t="s">
        <v>28</v>
      </c>
      <c r="V76" s="27" t="s">
        <v>29</v>
      </c>
      <c r="W76" s="27" t="s">
        <v>19</v>
      </c>
      <c r="X76" s="30" t="s">
        <v>20</v>
      </c>
    </row>
    <row r="77" spans="12:24" x14ac:dyDescent="0.25">
      <c r="L77" s="5">
        <v>3.49</v>
      </c>
      <c r="P77" s="19">
        <v>10533</v>
      </c>
      <c r="Q77" s="20">
        <v>44888</v>
      </c>
      <c r="R77" s="21" t="s">
        <v>14</v>
      </c>
      <c r="S77" s="22">
        <v>2.95</v>
      </c>
      <c r="T77" s="23">
        <v>745.76</v>
      </c>
      <c r="U77" s="21" t="s">
        <v>28</v>
      </c>
      <c r="V77" s="21" t="s">
        <v>29</v>
      </c>
      <c r="W77" s="21" t="s">
        <v>19</v>
      </c>
      <c r="X77" s="24" t="s">
        <v>20</v>
      </c>
    </row>
    <row r="78" spans="12:24" x14ac:dyDescent="0.25">
      <c r="L78" s="5">
        <v>2.95</v>
      </c>
      <c r="P78" s="25">
        <v>10534</v>
      </c>
      <c r="Q78" s="26">
        <v>44888</v>
      </c>
      <c r="R78" s="27" t="s">
        <v>17</v>
      </c>
      <c r="S78" s="28">
        <v>4.99</v>
      </c>
      <c r="T78" s="29">
        <v>200.4</v>
      </c>
      <c r="U78" s="27" t="s">
        <v>28</v>
      </c>
      <c r="V78" s="27" t="s">
        <v>29</v>
      </c>
      <c r="W78" s="27" t="s">
        <v>15</v>
      </c>
      <c r="X78" s="30" t="s">
        <v>16</v>
      </c>
    </row>
    <row r="79" spans="12:24" x14ac:dyDescent="0.25">
      <c r="L79" s="5">
        <v>4.99</v>
      </c>
      <c r="P79" s="19">
        <v>10535</v>
      </c>
      <c r="Q79" s="20">
        <v>44889</v>
      </c>
      <c r="R79" s="21" t="s">
        <v>21</v>
      </c>
      <c r="S79" s="22">
        <v>12.99</v>
      </c>
      <c r="T79" s="23">
        <v>477.29</v>
      </c>
      <c r="U79" s="21" t="s">
        <v>28</v>
      </c>
      <c r="V79" s="21" t="s">
        <v>22</v>
      </c>
      <c r="W79" s="21" t="s">
        <v>15</v>
      </c>
      <c r="X79" s="24" t="s">
        <v>16</v>
      </c>
    </row>
    <row r="80" spans="12:24" x14ac:dyDescent="0.25">
      <c r="L80" s="5">
        <v>12.99</v>
      </c>
      <c r="P80" s="25">
        <v>10536</v>
      </c>
      <c r="Q80" s="26">
        <v>44889</v>
      </c>
      <c r="R80" s="27" t="s">
        <v>25</v>
      </c>
      <c r="S80" s="28">
        <v>9.9499999999999993</v>
      </c>
      <c r="T80" s="29">
        <v>201.01</v>
      </c>
      <c r="U80" s="27" t="s">
        <v>28</v>
      </c>
      <c r="V80" s="27" t="s">
        <v>22</v>
      </c>
      <c r="W80" s="27" t="s">
        <v>15</v>
      </c>
      <c r="X80" s="30" t="s">
        <v>16</v>
      </c>
    </row>
    <row r="81" spans="12:24" x14ac:dyDescent="0.25">
      <c r="L81" s="5">
        <v>9.9499999999999993</v>
      </c>
      <c r="P81" s="19">
        <v>10540</v>
      </c>
      <c r="Q81" s="20">
        <v>44890</v>
      </c>
      <c r="R81" s="21" t="s">
        <v>21</v>
      </c>
      <c r="S81" s="22">
        <v>12.99</v>
      </c>
      <c r="T81" s="23">
        <v>461.89</v>
      </c>
      <c r="U81" s="21" t="s">
        <v>28</v>
      </c>
      <c r="V81" s="21" t="s">
        <v>22</v>
      </c>
      <c r="W81" s="21" t="s">
        <v>15</v>
      </c>
      <c r="X81" s="24" t="s">
        <v>16</v>
      </c>
    </row>
    <row r="82" spans="12:24" x14ac:dyDescent="0.25">
      <c r="L82" s="5">
        <v>12.99</v>
      </c>
      <c r="P82" s="25">
        <v>10541</v>
      </c>
      <c r="Q82" s="26">
        <v>44890</v>
      </c>
      <c r="R82" s="27" t="s">
        <v>25</v>
      </c>
      <c r="S82" s="28">
        <v>9.9499999999999993</v>
      </c>
      <c r="T82" s="29">
        <v>201.01</v>
      </c>
      <c r="U82" s="27" t="s">
        <v>28</v>
      </c>
      <c r="V82" s="27" t="s">
        <v>22</v>
      </c>
      <c r="W82" s="27" t="s">
        <v>12</v>
      </c>
      <c r="X82" s="30" t="s">
        <v>13</v>
      </c>
    </row>
    <row r="83" spans="12:24" x14ac:dyDescent="0.25">
      <c r="L83" s="5">
        <v>9.9499999999999993</v>
      </c>
      <c r="P83" s="19">
        <v>10542</v>
      </c>
      <c r="Q83" s="20">
        <v>44890</v>
      </c>
      <c r="R83" s="21" t="s">
        <v>9</v>
      </c>
      <c r="S83" s="22">
        <v>3.49</v>
      </c>
      <c r="T83" s="23">
        <v>630.37</v>
      </c>
      <c r="U83" s="21" t="s">
        <v>28</v>
      </c>
      <c r="V83" s="21" t="s">
        <v>22</v>
      </c>
      <c r="W83" s="21" t="s">
        <v>12</v>
      </c>
      <c r="X83" s="24" t="s">
        <v>13</v>
      </c>
    </row>
    <row r="84" spans="12:24" x14ac:dyDescent="0.25">
      <c r="L84" s="5">
        <v>3.49</v>
      </c>
      <c r="P84" s="25">
        <v>10543</v>
      </c>
      <c r="Q84" s="26">
        <v>44890</v>
      </c>
      <c r="R84" s="27" t="s">
        <v>14</v>
      </c>
      <c r="S84" s="28">
        <v>2.95</v>
      </c>
      <c r="T84" s="29">
        <v>745.76</v>
      </c>
      <c r="U84" s="27" t="s">
        <v>28</v>
      </c>
      <c r="V84" s="27" t="s">
        <v>22</v>
      </c>
      <c r="W84" s="27" t="s">
        <v>12</v>
      </c>
      <c r="X84" s="30" t="s">
        <v>13</v>
      </c>
    </row>
    <row r="85" spans="12:24" x14ac:dyDescent="0.25">
      <c r="L85" s="5">
        <v>2.95</v>
      </c>
      <c r="P85" s="19">
        <v>10544</v>
      </c>
      <c r="Q85" s="20">
        <v>44890</v>
      </c>
      <c r="R85" s="21" t="s">
        <v>17</v>
      </c>
      <c r="S85" s="22">
        <v>4.99</v>
      </c>
      <c r="T85" s="23">
        <v>200.4</v>
      </c>
      <c r="U85" s="21" t="s">
        <v>28</v>
      </c>
      <c r="V85" s="21" t="s">
        <v>22</v>
      </c>
      <c r="W85" s="21" t="s">
        <v>12</v>
      </c>
      <c r="X85" s="24" t="s">
        <v>13</v>
      </c>
    </row>
    <row r="86" spans="12:24" x14ac:dyDescent="0.25">
      <c r="L86" s="5">
        <v>4.99</v>
      </c>
      <c r="P86" s="25">
        <v>10545</v>
      </c>
      <c r="Q86" s="26">
        <v>44891</v>
      </c>
      <c r="R86" s="27" t="s">
        <v>21</v>
      </c>
      <c r="S86" s="28">
        <v>12.99</v>
      </c>
      <c r="T86" s="29">
        <v>446.5</v>
      </c>
      <c r="U86" s="27" t="s">
        <v>28</v>
      </c>
      <c r="V86" s="27" t="s">
        <v>22</v>
      </c>
      <c r="W86" s="27" t="s">
        <v>12</v>
      </c>
      <c r="X86" s="30" t="s">
        <v>13</v>
      </c>
    </row>
    <row r="87" spans="12:24" x14ac:dyDescent="0.25">
      <c r="L87" s="5">
        <v>12.99</v>
      </c>
      <c r="P87" s="19">
        <v>10546</v>
      </c>
      <c r="Q87" s="20">
        <v>44891</v>
      </c>
      <c r="R87" s="21" t="s">
        <v>25</v>
      </c>
      <c r="S87" s="22">
        <v>9.9499999999999993</v>
      </c>
      <c r="T87" s="23">
        <v>201.01</v>
      </c>
      <c r="U87" s="21" t="s">
        <v>28</v>
      </c>
      <c r="V87" s="21" t="s">
        <v>22</v>
      </c>
      <c r="W87" s="21" t="s">
        <v>12</v>
      </c>
      <c r="X87" s="24" t="s">
        <v>13</v>
      </c>
    </row>
    <row r="88" spans="12:24" x14ac:dyDescent="0.25">
      <c r="L88" s="5">
        <v>9.9499999999999993</v>
      </c>
      <c r="P88" s="25">
        <v>10547</v>
      </c>
      <c r="Q88" s="26">
        <v>44891</v>
      </c>
      <c r="R88" s="27" t="s">
        <v>9</v>
      </c>
      <c r="S88" s="28">
        <v>3.49</v>
      </c>
      <c r="T88" s="29">
        <v>630.37</v>
      </c>
      <c r="U88" s="27" t="s">
        <v>28</v>
      </c>
      <c r="V88" s="27" t="s">
        <v>22</v>
      </c>
      <c r="W88" s="27" t="s">
        <v>12</v>
      </c>
      <c r="X88" s="30" t="s">
        <v>13</v>
      </c>
    </row>
    <row r="89" spans="12:24" x14ac:dyDescent="0.25">
      <c r="L89" s="5">
        <v>3.49</v>
      </c>
      <c r="P89" s="19">
        <v>10548</v>
      </c>
      <c r="Q89" s="20">
        <v>44891</v>
      </c>
      <c r="R89" s="21" t="s">
        <v>14</v>
      </c>
      <c r="S89" s="22">
        <v>2.95</v>
      </c>
      <c r="T89" s="23">
        <v>745.76</v>
      </c>
      <c r="U89" s="21" t="s">
        <v>28</v>
      </c>
      <c r="V89" s="21" t="s">
        <v>22</v>
      </c>
      <c r="W89" s="21" t="s">
        <v>12</v>
      </c>
      <c r="X89" s="24" t="s">
        <v>13</v>
      </c>
    </row>
    <row r="90" spans="12:24" x14ac:dyDescent="0.25">
      <c r="L90" s="5">
        <v>2.95</v>
      </c>
      <c r="P90" s="25">
        <v>10549</v>
      </c>
      <c r="Q90" s="26">
        <v>44891</v>
      </c>
      <c r="R90" s="27" t="s">
        <v>17</v>
      </c>
      <c r="S90" s="28">
        <v>4.99</v>
      </c>
      <c r="T90" s="29">
        <v>200.4</v>
      </c>
      <c r="U90" s="27" t="s">
        <v>28</v>
      </c>
      <c r="V90" s="27" t="s">
        <v>22</v>
      </c>
      <c r="W90" s="27" t="s">
        <v>12</v>
      </c>
      <c r="X90" s="30" t="s">
        <v>13</v>
      </c>
    </row>
    <row r="91" spans="12:24" x14ac:dyDescent="0.25">
      <c r="L91" s="5">
        <v>4.99</v>
      </c>
      <c r="P91" s="19">
        <v>10550</v>
      </c>
      <c r="Q91" s="20">
        <v>44892</v>
      </c>
      <c r="R91" s="21" t="s">
        <v>21</v>
      </c>
      <c r="S91" s="22">
        <v>12.99</v>
      </c>
      <c r="T91" s="23">
        <v>461.89</v>
      </c>
      <c r="U91" s="21" t="s">
        <v>28</v>
      </c>
      <c r="V91" s="21" t="s">
        <v>22</v>
      </c>
      <c r="W91" s="21" t="s">
        <v>12</v>
      </c>
      <c r="X91" s="24" t="s">
        <v>13</v>
      </c>
    </row>
    <row r="92" spans="12:24" x14ac:dyDescent="0.25">
      <c r="L92" s="5">
        <v>12.99</v>
      </c>
      <c r="P92" s="25">
        <v>10551</v>
      </c>
      <c r="Q92" s="26">
        <v>44892</v>
      </c>
      <c r="R92" s="27" t="s">
        <v>25</v>
      </c>
      <c r="S92" s="28">
        <v>9.9499999999999993</v>
      </c>
      <c r="T92" s="29">
        <v>201.01</v>
      </c>
      <c r="U92" s="27" t="s">
        <v>28</v>
      </c>
      <c r="V92" s="27" t="s">
        <v>22</v>
      </c>
      <c r="W92" s="27" t="s">
        <v>12</v>
      </c>
      <c r="X92" s="30" t="s">
        <v>13</v>
      </c>
    </row>
    <row r="93" spans="12:24" x14ac:dyDescent="0.25">
      <c r="L93" s="5">
        <v>9.9499999999999993</v>
      </c>
      <c r="P93" s="19">
        <v>10552</v>
      </c>
      <c r="Q93" s="20">
        <v>44892</v>
      </c>
      <c r="R93" s="21" t="s">
        <v>9</v>
      </c>
      <c r="S93" s="22">
        <v>3.49</v>
      </c>
      <c r="T93" s="23">
        <v>630.37</v>
      </c>
      <c r="U93" s="21" t="s">
        <v>10</v>
      </c>
      <c r="V93" s="21" t="s">
        <v>22</v>
      </c>
      <c r="W93" s="21" t="s">
        <v>12</v>
      </c>
      <c r="X93" s="24" t="s">
        <v>13</v>
      </c>
    </row>
    <row r="94" spans="12:24" x14ac:dyDescent="0.25">
      <c r="L94" s="5">
        <v>3.49</v>
      </c>
      <c r="P94" s="25">
        <v>10553</v>
      </c>
      <c r="Q94" s="26">
        <v>44892</v>
      </c>
      <c r="R94" s="27" t="s">
        <v>14</v>
      </c>
      <c r="S94" s="28">
        <v>2.95</v>
      </c>
      <c r="T94" s="29">
        <v>745.76</v>
      </c>
      <c r="U94" s="27" t="s">
        <v>10</v>
      </c>
      <c r="V94" s="27" t="s">
        <v>22</v>
      </c>
      <c r="W94" s="27" t="s">
        <v>12</v>
      </c>
      <c r="X94" s="30" t="s">
        <v>13</v>
      </c>
    </row>
    <row r="95" spans="12:24" x14ac:dyDescent="0.25">
      <c r="L95" s="5">
        <v>2.95</v>
      </c>
      <c r="P95" s="19">
        <v>10554</v>
      </c>
      <c r="Q95" s="20">
        <v>44892</v>
      </c>
      <c r="R95" s="21" t="s">
        <v>17</v>
      </c>
      <c r="S95" s="22">
        <v>4.99</v>
      </c>
      <c r="T95" s="23">
        <v>200.4</v>
      </c>
      <c r="U95" s="21" t="s">
        <v>10</v>
      </c>
      <c r="V95" s="21" t="s">
        <v>22</v>
      </c>
      <c r="W95" s="21" t="s">
        <v>12</v>
      </c>
      <c r="X95" s="24" t="s">
        <v>13</v>
      </c>
    </row>
    <row r="96" spans="12:24" x14ac:dyDescent="0.25">
      <c r="L96" s="5">
        <v>4.99</v>
      </c>
      <c r="P96" s="25">
        <v>10555</v>
      </c>
      <c r="Q96" s="26">
        <v>44893</v>
      </c>
      <c r="R96" s="27" t="s">
        <v>21</v>
      </c>
      <c r="S96" s="28">
        <v>12.99</v>
      </c>
      <c r="T96" s="29">
        <v>477.29</v>
      </c>
      <c r="U96" s="27" t="s">
        <v>10</v>
      </c>
      <c r="V96" s="27" t="s">
        <v>22</v>
      </c>
      <c r="W96" s="27" t="s">
        <v>12</v>
      </c>
      <c r="X96" s="30" t="s">
        <v>13</v>
      </c>
    </row>
    <row r="97" spans="12:24" x14ac:dyDescent="0.25">
      <c r="L97" s="5">
        <v>12.99</v>
      </c>
      <c r="P97" s="19">
        <v>10556</v>
      </c>
      <c r="Q97" s="20">
        <v>44893</v>
      </c>
      <c r="R97" s="21" t="s">
        <v>25</v>
      </c>
      <c r="S97" s="22">
        <v>9.9499999999999993</v>
      </c>
      <c r="T97" s="23">
        <v>201.01</v>
      </c>
      <c r="U97" s="21" t="s">
        <v>10</v>
      </c>
      <c r="V97" s="21" t="s">
        <v>22</v>
      </c>
      <c r="W97" s="21" t="s">
        <v>12</v>
      </c>
      <c r="X97" s="24" t="s">
        <v>13</v>
      </c>
    </row>
    <row r="98" spans="12:24" x14ac:dyDescent="0.25">
      <c r="L98" s="5">
        <v>9.9499999999999993</v>
      </c>
      <c r="P98" s="25">
        <v>10557</v>
      </c>
      <c r="Q98" s="26">
        <v>44893</v>
      </c>
      <c r="R98" s="27" t="s">
        <v>9</v>
      </c>
      <c r="S98" s="28">
        <v>3.49</v>
      </c>
      <c r="T98" s="29">
        <v>630.37</v>
      </c>
      <c r="U98" s="27" t="s">
        <v>10</v>
      </c>
      <c r="V98" s="27" t="s">
        <v>22</v>
      </c>
      <c r="W98" s="27" t="s">
        <v>12</v>
      </c>
      <c r="X98" s="30" t="s">
        <v>13</v>
      </c>
    </row>
    <row r="99" spans="12:24" x14ac:dyDescent="0.25">
      <c r="L99" s="5">
        <v>3.49</v>
      </c>
      <c r="P99" s="19">
        <v>10558</v>
      </c>
      <c r="Q99" s="20">
        <v>44893</v>
      </c>
      <c r="R99" s="21" t="s">
        <v>14</v>
      </c>
      <c r="S99" s="22">
        <v>2.95</v>
      </c>
      <c r="T99" s="23">
        <v>677.97</v>
      </c>
      <c r="U99" s="21" t="s">
        <v>10</v>
      </c>
      <c r="V99" s="21" t="s">
        <v>22</v>
      </c>
      <c r="W99" s="21" t="s">
        <v>12</v>
      </c>
      <c r="X99" s="24" t="s">
        <v>13</v>
      </c>
    </row>
    <row r="100" spans="12:24" x14ac:dyDescent="0.25">
      <c r="L100" s="5">
        <v>2.95</v>
      </c>
      <c r="P100" s="25">
        <v>10559</v>
      </c>
      <c r="Q100" s="26">
        <v>44893</v>
      </c>
      <c r="R100" s="27" t="s">
        <v>17</v>
      </c>
      <c r="S100" s="28">
        <v>4.99</v>
      </c>
      <c r="T100" s="29">
        <v>200.4</v>
      </c>
      <c r="U100" s="27" t="s">
        <v>10</v>
      </c>
      <c r="V100" s="27" t="s">
        <v>22</v>
      </c>
      <c r="W100" s="27" t="s">
        <v>12</v>
      </c>
      <c r="X100" s="30" t="s">
        <v>13</v>
      </c>
    </row>
    <row r="101" spans="12:24" x14ac:dyDescent="0.25">
      <c r="L101" s="5">
        <v>4.99</v>
      </c>
      <c r="P101" s="19">
        <v>10560</v>
      </c>
      <c r="Q101" s="20">
        <v>44894</v>
      </c>
      <c r="R101" s="21" t="s">
        <v>21</v>
      </c>
      <c r="S101" s="22">
        <v>12.99</v>
      </c>
      <c r="T101" s="23">
        <v>477.29</v>
      </c>
      <c r="U101" s="21" t="s">
        <v>10</v>
      </c>
      <c r="V101" s="21" t="s">
        <v>22</v>
      </c>
      <c r="W101" s="21" t="s">
        <v>12</v>
      </c>
      <c r="X101" s="24" t="s">
        <v>13</v>
      </c>
    </row>
    <row r="102" spans="12:24" x14ac:dyDescent="0.25">
      <c r="L102" s="5">
        <v>12.99</v>
      </c>
      <c r="P102" s="25">
        <v>10561</v>
      </c>
      <c r="Q102" s="26">
        <v>44894</v>
      </c>
      <c r="R102" s="27" t="s">
        <v>25</v>
      </c>
      <c r="S102" s="28">
        <v>9.9499999999999993</v>
      </c>
      <c r="T102" s="29">
        <v>201.01</v>
      </c>
      <c r="U102" s="27" t="s">
        <v>10</v>
      </c>
      <c r="V102" s="27" t="s">
        <v>22</v>
      </c>
      <c r="W102" s="27" t="s">
        <v>12</v>
      </c>
      <c r="X102" s="30" t="s">
        <v>13</v>
      </c>
    </row>
    <row r="103" spans="12:24" x14ac:dyDescent="0.25">
      <c r="L103" s="5">
        <v>9.9499999999999993</v>
      </c>
      <c r="P103" s="19">
        <v>10562</v>
      </c>
      <c r="Q103" s="20">
        <v>44894</v>
      </c>
      <c r="R103" s="21" t="s">
        <v>9</v>
      </c>
      <c r="S103" s="22">
        <v>3.49</v>
      </c>
      <c r="T103" s="23">
        <v>630.37</v>
      </c>
      <c r="U103" s="21" t="s">
        <v>10</v>
      </c>
      <c r="V103" s="21" t="s">
        <v>22</v>
      </c>
      <c r="W103" s="21" t="s">
        <v>12</v>
      </c>
      <c r="X103" s="24" t="s">
        <v>13</v>
      </c>
    </row>
    <row r="104" spans="12:24" x14ac:dyDescent="0.25">
      <c r="L104" s="5">
        <v>3.49</v>
      </c>
      <c r="P104" s="25">
        <v>10563</v>
      </c>
      <c r="Q104" s="26">
        <v>44894</v>
      </c>
      <c r="R104" s="27" t="s">
        <v>14</v>
      </c>
      <c r="S104" s="28">
        <v>2.95</v>
      </c>
      <c r="T104" s="29">
        <v>677.97</v>
      </c>
      <c r="U104" s="27" t="s">
        <v>10</v>
      </c>
      <c r="V104" s="27" t="s">
        <v>22</v>
      </c>
      <c r="W104" s="27" t="s">
        <v>12</v>
      </c>
      <c r="X104" s="30" t="s">
        <v>13</v>
      </c>
    </row>
    <row r="105" spans="12:24" x14ac:dyDescent="0.25">
      <c r="L105" s="5">
        <v>2.95</v>
      </c>
      <c r="P105" s="19">
        <v>10564</v>
      </c>
      <c r="Q105" s="20">
        <v>44894</v>
      </c>
      <c r="R105" s="21" t="s">
        <v>17</v>
      </c>
      <c r="S105" s="22">
        <v>4.99</v>
      </c>
      <c r="T105" s="23">
        <v>200.4</v>
      </c>
      <c r="U105" s="21" t="s">
        <v>10</v>
      </c>
      <c r="V105" s="21" t="s">
        <v>22</v>
      </c>
      <c r="W105" s="21" t="s">
        <v>12</v>
      </c>
      <c r="X105" s="24" t="s">
        <v>13</v>
      </c>
    </row>
    <row r="106" spans="12:24" x14ac:dyDescent="0.25">
      <c r="L106" s="5">
        <v>4.99</v>
      </c>
      <c r="P106" s="25">
        <v>10565</v>
      </c>
      <c r="Q106" s="26">
        <v>44895</v>
      </c>
      <c r="R106" s="27" t="s">
        <v>21</v>
      </c>
      <c r="S106" s="28">
        <v>12.99</v>
      </c>
      <c r="T106" s="29">
        <v>492.69</v>
      </c>
      <c r="U106" s="27" t="s">
        <v>10</v>
      </c>
      <c r="V106" s="27" t="s">
        <v>22</v>
      </c>
      <c r="W106" s="27" t="s">
        <v>12</v>
      </c>
      <c r="X106" s="30" t="s">
        <v>13</v>
      </c>
    </row>
    <row r="107" spans="12:24" x14ac:dyDescent="0.25">
      <c r="L107" s="5">
        <v>12.99</v>
      </c>
      <c r="P107" s="19">
        <v>10566</v>
      </c>
      <c r="Q107" s="20">
        <v>44895</v>
      </c>
      <c r="R107" s="21" t="s">
        <v>25</v>
      </c>
      <c r="S107" s="22">
        <v>9.9499999999999993</v>
      </c>
      <c r="T107" s="23">
        <v>201.01</v>
      </c>
      <c r="U107" s="21" t="s">
        <v>10</v>
      </c>
      <c r="V107" s="21" t="s">
        <v>22</v>
      </c>
      <c r="W107" s="21" t="s">
        <v>12</v>
      </c>
      <c r="X107" s="24" t="s">
        <v>13</v>
      </c>
    </row>
    <row r="108" spans="12:24" x14ac:dyDescent="0.25">
      <c r="L108" s="5">
        <v>9.9499999999999993</v>
      </c>
      <c r="P108" s="25">
        <v>10567</v>
      </c>
      <c r="Q108" s="26">
        <v>44895</v>
      </c>
      <c r="R108" s="27" t="s">
        <v>9</v>
      </c>
      <c r="S108" s="28">
        <v>3.49</v>
      </c>
      <c r="T108" s="29">
        <v>630.37</v>
      </c>
      <c r="U108" s="27" t="s">
        <v>10</v>
      </c>
      <c r="V108" s="27" t="s">
        <v>22</v>
      </c>
      <c r="W108" s="27" t="s">
        <v>12</v>
      </c>
      <c r="X108" s="30" t="s">
        <v>13</v>
      </c>
    </row>
    <row r="109" spans="12:24" x14ac:dyDescent="0.25">
      <c r="L109" s="5">
        <v>3.49</v>
      </c>
      <c r="P109" s="19">
        <v>10568</v>
      </c>
      <c r="Q109" s="20">
        <v>44895</v>
      </c>
      <c r="R109" s="21" t="s">
        <v>14</v>
      </c>
      <c r="S109" s="22">
        <v>2.95</v>
      </c>
      <c r="T109" s="23">
        <v>677.97</v>
      </c>
      <c r="U109" s="21" t="s">
        <v>10</v>
      </c>
      <c r="V109" s="21" t="s">
        <v>22</v>
      </c>
      <c r="W109" s="21" t="s">
        <v>12</v>
      </c>
      <c r="X109" s="24" t="s">
        <v>13</v>
      </c>
    </row>
    <row r="110" spans="12:24" x14ac:dyDescent="0.25">
      <c r="L110" s="5">
        <v>2.95</v>
      </c>
      <c r="P110" s="25">
        <v>10569</v>
      </c>
      <c r="Q110" s="26">
        <v>44895</v>
      </c>
      <c r="R110" s="27" t="s">
        <v>17</v>
      </c>
      <c r="S110" s="28">
        <v>4.99</v>
      </c>
      <c r="T110" s="29">
        <v>200.4</v>
      </c>
      <c r="U110" s="27" t="s">
        <v>10</v>
      </c>
      <c r="V110" s="27" t="s">
        <v>22</v>
      </c>
      <c r="W110" s="27" t="s">
        <v>12</v>
      </c>
      <c r="X110" s="30" t="s">
        <v>13</v>
      </c>
    </row>
    <row r="111" spans="12:24" x14ac:dyDescent="0.25">
      <c r="L111" s="5">
        <v>4.99</v>
      </c>
      <c r="P111" s="19">
        <v>10570</v>
      </c>
      <c r="Q111" s="20">
        <v>44896</v>
      </c>
      <c r="R111" s="21" t="s">
        <v>21</v>
      </c>
      <c r="S111" s="22">
        <v>12.99</v>
      </c>
      <c r="T111" s="23">
        <v>492.69</v>
      </c>
      <c r="U111" s="21" t="s">
        <v>10</v>
      </c>
      <c r="V111" s="21" t="s">
        <v>22</v>
      </c>
      <c r="W111" s="21" t="s">
        <v>12</v>
      </c>
      <c r="X111" s="24" t="s">
        <v>13</v>
      </c>
    </row>
    <row r="112" spans="12:24" x14ac:dyDescent="0.25">
      <c r="L112" s="5">
        <v>12.99</v>
      </c>
      <c r="P112" s="25">
        <v>10571</v>
      </c>
      <c r="Q112" s="26">
        <v>44896</v>
      </c>
      <c r="R112" s="27" t="s">
        <v>25</v>
      </c>
      <c r="S112" s="28">
        <v>9.9499999999999993</v>
      </c>
      <c r="T112" s="29">
        <v>201.01</v>
      </c>
      <c r="U112" s="27" t="s">
        <v>10</v>
      </c>
      <c r="V112" s="27" t="s">
        <v>22</v>
      </c>
      <c r="W112" s="27" t="s">
        <v>12</v>
      </c>
      <c r="X112" s="30" t="s">
        <v>13</v>
      </c>
    </row>
    <row r="113" spans="12:24" x14ac:dyDescent="0.25">
      <c r="L113" s="5">
        <v>9.9499999999999993</v>
      </c>
      <c r="P113" s="19">
        <v>10572</v>
      </c>
      <c r="Q113" s="20">
        <v>44896</v>
      </c>
      <c r="R113" s="21" t="s">
        <v>9</v>
      </c>
      <c r="S113" s="22">
        <v>3.49</v>
      </c>
      <c r="T113" s="23">
        <v>573.07000000000005</v>
      </c>
      <c r="U113" s="21" t="s">
        <v>10</v>
      </c>
      <c r="V113" s="21" t="s">
        <v>22</v>
      </c>
      <c r="W113" s="21" t="s">
        <v>26</v>
      </c>
      <c r="X113" s="24" t="s">
        <v>27</v>
      </c>
    </row>
    <row r="114" spans="12:24" x14ac:dyDescent="0.25">
      <c r="L114" s="5">
        <v>3.49</v>
      </c>
      <c r="P114" s="25">
        <v>10573</v>
      </c>
      <c r="Q114" s="26">
        <v>44896</v>
      </c>
      <c r="R114" s="27" t="s">
        <v>14</v>
      </c>
      <c r="S114" s="28">
        <v>2.95</v>
      </c>
      <c r="T114" s="29">
        <v>677.97</v>
      </c>
      <c r="U114" s="27" t="s">
        <v>10</v>
      </c>
      <c r="V114" s="27" t="s">
        <v>22</v>
      </c>
      <c r="W114" s="27" t="s">
        <v>26</v>
      </c>
      <c r="X114" s="30" t="s">
        <v>27</v>
      </c>
    </row>
    <row r="115" spans="12:24" x14ac:dyDescent="0.25">
      <c r="L115" s="5">
        <v>2.95</v>
      </c>
      <c r="P115" s="19">
        <v>10574</v>
      </c>
      <c r="Q115" s="20">
        <v>44896</v>
      </c>
      <c r="R115" s="21" t="s">
        <v>17</v>
      </c>
      <c r="S115" s="22">
        <v>4.99</v>
      </c>
      <c r="T115" s="23">
        <v>200.4</v>
      </c>
      <c r="U115" s="21" t="s">
        <v>10</v>
      </c>
      <c r="V115" s="21" t="s">
        <v>22</v>
      </c>
      <c r="W115" s="21" t="s">
        <v>26</v>
      </c>
      <c r="X115" s="24" t="s">
        <v>27</v>
      </c>
    </row>
    <row r="116" spans="12:24" x14ac:dyDescent="0.25">
      <c r="L116" s="5">
        <v>4.99</v>
      </c>
      <c r="P116" s="25">
        <v>10575</v>
      </c>
      <c r="Q116" s="26">
        <v>44897</v>
      </c>
      <c r="R116" s="27" t="s">
        <v>21</v>
      </c>
      <c r="S116" s="28">
        <v>12.99</v>
      </c>
      <c r="T116" s="29">
        <v>523.48</v>
      </c>
      <c r="U116" s="27" t="s">
        <v>10</v>
      </c>
      <c r="V116" s="27" t="s">
        <v>22</v>
      </c>
      <c r="W116" s="27" t="s">
        <v>26</v>
      </c>
      <c r="X116" s="30" t="s">
        <v>27</v>
      </c>
    </row>
    <row r="117" spans="12:24" x14ac:dyDescent="0.25">
      <c r="L117" s="5">
        <v>12.99</v>
      </c>
      <c r="P117" s="19">
        <v>10576</v>
      </c>
      <c r="Q117" s="20">
        <v>44897</v>
      </c>
      <c r="R117" s="21" t="s">
        <v>25</v>
      </c>
      <c r="S117" s="22">
        <v>9.9499999999999993</v>
      </c>
      <c r="T117" s="23">
        <v>201.01</v>
      </c>
      <c r="U117" s="21" t="s">
        <v>10</v>
      </c>
      <c r="V117" s="21" t="s">
        <v>22</v>
      </c>
      <c r="W117" s="21" t="s">
        <v>26</v>
      </c>
      <c r="X117" s="24" t="s">
        <v>27</v>
      </c>
    </row>
    <row r="118" spans="12:24" x14ac:dyDescent="0.25">
      <c r="L118" s="5">
        <v>9.9499999999999993</v>
      </c>
      <c r="P118" s="25">
        <v>10577</v>
      </c>
      <c r="Q118" s="26">
        <v>44897</v>
      </c>
      <c r="R118" s="27" t="s">
        <v>9</v>
      </c>
      <c r="S118" s="28">
        <v>3.49</v>
      </c>
      <c r="T118" s="29">
        <v>630.37</v>
      </c>
      <c r="U118" s="27" t="s">
        <v>10</v>
      </c>
      <c r="V118" s="27" t="s">
        <v>22</v>
      </c>
      <c r="W118" s="27" t="s">
        <v>26</v>
      </c>
      <c r="X118" s="30" t="s">
        <v>27</v>
      </c>
    </row>
    <row r="119" spans="12:24" x14ac:dyDescent="0.25">
      <c r="L119" s="5">
        <v>3.49</v>
      </c>
      <c r="P119" s="19">
        <v>10578</v>
      </c>
      <c r="Q119" s="20">
        <v>44897</v>
      </c>
      <c r="R119" s="21" t="s">
        <v>14</v>
      </c>
      <c r="S119" s="22">
        <v>2.95</v>
      </c>
      <c r="T119" s="23">
        <v>677.97</v>
      </c>
      <c r="U119" s="21" t="s">
        <v>10</v>
      </c>
      <c r="V119" s="21" t="s">
        <v>22</v>
      </c>
      <c r="W119" s="21" t="s">
        <v>26</v>
      </c>
      <c r="X119" s="24" t="s">
        <v>27</v>
      </c>
    </row>
    <row r="120" spans="12:24" x14ac:dyDescent="0.25">
      <c r="L120" s="5">
        <v>2.95</v>
      </c>
      <c r="P120" s="25">
        <v>10579</v>
      </c>
      <c r="Q120" s="26">
        <v>44897</v>
      </c>
      <c r="R120" s="27" t="s">
        <v>17</v>
      </c>
      <c r="S120" s="28">
        <v>4.99</v>
      </c>
      <c r="T120" s="29">
        <v>200.4</v>
      </c>
      <c r="U120" s="27" t="s">
        <v>10</v>
      </c>
      <c r="V120" s="27" t="s">
        <v>22</v>
      </c>
      <c r="W120" s="27" t="s">
        <v>26</v>
      </c>
      <c r="X120" s="30" t="s">
        <v>27</v>
      </c>
    </row>
    <row r="121" spans="12:24" x14ac:dyDescent="0.25">
      <c r="L121" s="5">
        <v>4.99</v>
      </c>
      <c r="P121" s="19">
        <v>10580</v>
      </c>
      <c r="Q121" s="20">
        <v>44898</v>
      </c>
      <c r="R121" s="21" t="s">
        <v>21</v>
      </c>
      <c r="S121" s="22">
        <v>12.99</v>
      </c>
      <c r="T121" s="23">
        <v>523.48</v>
      </c>
      <c r="U121" s="21" t="s">
        <v>10</v>
      </c>
      <c r="V121" s="21" t="s">
        <v>22</v>
      </c>
      <c r="W121" s="21" t="s">
        <v>26</v>
      </c>
      <c r="X121" s="24" t="s">
        <v>27</v>
      </c>
    </row>
    <row r="122" spans="12:24" x14ac:dyDescent="0.25">
      <c r="L122" s="5">
        <v>12.99</v>
      </c>
      <c r="P122" s="25">
        <v>10581</v>
      </c>
      <c r="Q122" s="26">
        <v>44898</v>
      </c>
      <c r="R122" s="27" t="s">
        <v>25</v>
      </c>
      <c r="S122" s="28">
        <v>9.9499999999999993</v>
      </c>
      <c r="T122" s="29">
        <v>201.01</v>
      </c>
      <c r="U122" s="27" t="s">
        <v>10</v>
      </c>
      <c r="V122" s="27" t="s">
        <v>22</v>
      </c>
      <c r="W122" s="27" t="s">
        <v>26</v>
      </c>
      <c r="X122" s="30" t="s">
        <v>27</v>
      </c>
    </row>
    <row r="123" spans="12:24" x14ac:dyDescent="0.25">
      <c r="L123" s="5">
        <v>9.9499999999999993</v>
      </c>
      <c r="P123" s="19">
        <v>10582</v>
      </c>
      <c r="Q123" s="20">
        <v>44898</v>
      </c>
      <c r="R123" s="21" t="s">
        <v>9</v>
      </c>
      <c r="S123" s="22">
        <v>3.49</v>
      </c>
      <c r="T123" s="23">
        <v>630.37</v>
      </c>
      <c r="U123" s="21" t="s">
        <v>10</v>
      </c>
      <c r="V123" s="21" t="s">
        <v>22</v>
      </c>
      <c r="W123" s="21" t="s">
        <v>12</v>
      </c>
      <c r="X123" s="24" t="s">
        <v>13</v>
      </c>
    </row>
    <row r="124" spans="12:24" x14ac:dyDescent="0.25">
      <c r="L124" s="5">
        <v>3.49</v>
      </c>
      <c r="P124" s="25">
        <v>10583</v>
      </c>
      <c r="Q124" s="26">
        <v>44898</v>
      </c>
      <c r="R124" s="27" t="s">
        <v>14</v>
      </c>
      <c r="S124" s="28">
        <v>2.95</v>
      </c>
      <c r="T124" s="29">
        <v>677.97</v>
      </c>
      <c r="U124" s="27" t="s">
        <v>10</v>
      </c>
      <c r="V124" s="27" t="s">
        <v>22</v>
      </c>
      <c r="W124" s="27" t="s">
        <v>12</v>
      </c>
      <c r="X124" s="30" t="s">
        <v>13</v>
      </c>
    </row>
    <row r="125" spans="12:24" x14ac:dyDescent="0.25">
      <c r="L125" s="5">
        <v>2.95</v>
      </c>
      <c r="P125" s="19">
        <v>10584</v>
      </c>
      <c r="Q125" s="20">
        <v>44898</v>
      </c>
      <c r="R125" s="21" t="s">
        <v>17</v>
      </c>
      <c r="S125" s="22">
        <v>4.99</v>
      </c>
      <c r="T125" s="23">
        <v>200.4</v>
      </c>
      <c r="U125" s="21" t="s">
        <v>10</v>
      </c>
      <c r="V125" s="21" t="s">
        <v>22</v>
      </c>
      <c r="W125" s="21" t="s">
        <v>12</v>
      </c>
      <c r="X125" s="24" t="s">
        <v>13</v>
      </c>
    </row>
    <row r="126" spans="12:24" x14ac:dyDescent="0.25">
      <c r="L126" s="5">
        <v>4.99</v>
      </c>
      <c r="P126" s="25">
        <v>10585</v>
      </c>
      <c r="Q126" s="26">
        <v>44899</v>
      </c>
      <c r="R126" s="27" t="s">
        <v>21</v>
      </c>
      <c r="S126" s="28">
        <v>12.99</v>
      </c>
      <c r="T126" s="29">
        <v>538.88</v>
      </c>
      <c r="U126" s="27" t="s">
        <v>10</v>
      </c>
      <c r="V126" s="27" t="s">
        <v>22</v>
      </c>
      <c r="W126" s="27" t="s">
        <v>12</v>
      </c>
      <c r="X126" s="30" t="s">
        <v>13</v>
      </c>
    </row>
    <row r="127" spans="12:24" x14ac:dyDescent="0.25">
      <c r="L127" s="5">
        <v>12.99</v>
      </c>
      <c r="P127" s="19">
        <v>10586</v>
      </c>
      <c r="Q127" s="20">
        <v>44899</v>
      </c>
      <c r="R127" s="21" t="s">
        <v>25</v>
      </c>
      <c r="S127" s="22">
        <v>9.9499999999999993</v>
      </c>
      <c r="T127" s="23">
        <v>201.01</v>
      </c>
      <c r="U127" s="21" t="s">
        <v>10</v>
      </c>
      <c r="V127" s="21" t="s">
        <v>22</v>
      </c>
      <c r="W127" s="21" t="s">
        <v>12</v>
      </c>
      <c r="X127" s="24" t="s">
        <v>13</v>
      </c>
    </row>
    <row r="128" spans="12:24" x14ac:dyDescent="0.25">
      <c r="L128" s="5">
        <v>9.9499999999999993</v>
      </c>
      <c r="P128" s="25">
        <v>10537</v>
      </c>
      <c r="Q128" s="26">
        <v>44889</v>
      </c>
      <c r="R128" s="27" t="s">
        <v>9</v>
      </c>
      <c r="S128" s="28">
        <v>3.49</v>
      </c>
      <c r="T128" s="29">
        <v>630.37</v>
      </c>
      <c r="U128" s="27" t="s">
        <v>28</v>
      </c>
      <c r="V128" s="27" t="s">
        <v>22</v>
      </c>
      <c r="W128" s="27" t="s">
        <v>15</v>
      </c>
      <c r="X128" s="30" t="s">
        <v>16</v>
      </c>
    </row>
    <row r="129" spans="12:24" x14ac:dyDescent="0.25">
      <c r="L129" s="5">
        <v>3.49</v>
      </c>
      <c r="P129" s="19">
        <v>10538</v>
      </c>
      <c r="Q129" s="20">
        <v>44889</v>
      </c>
      <c r="R129" s="21" t="s">
        <v>14</v>
      </c>
      <c r="S129" s="22">
        <v>2.95</v>
      </c>
      <c r="T129" s="23">
        <v>745.76</v>
      </c>
      <c r="U129" s="21" t="s">
        <v>28</v>
      </c>
      <c r="V129" s="21" t="s">
        <v>22</v>
      </c>
      <c r="W129" s="21" t="s">
        <v>15</v>
      </c>
      <c r="X129" s="24" t="s">
        <v>16</v>
      </c>
    </row>
    <row r="130" spans="12:24" x14ac:dyDescent="0.25">
      <c r="L130" s="5">
        <v>2.95</v>
      </c>
      <c r="P130" s="25">
        <v>10539</v>
      </c>
      <c r="Q130" s="26">
        <v>44889</v>
      </c>
      <c r="R130" s="27" t="s">
        <v>17</v>
      </c>
      <c r="S130" s="28">
        <v>4.99</v>
      </c>
      <c r="T130" s="29">
        <v>200.4</v>
      </c>
      <c r="U130" s="27" t="s">
        <v>28</v>
      </c>
      <c r="V130" s="27" t="s">
        <v>22</v>
      </c>
      <c r="W130" s="27" t="s">
        <v>15</v>
      </c>
      <c r="X130" s="30" t="s">
        <v>16</v>
      </c>
    </row>
    <row r="131" spans="12:24" x14ac:dyDescent="0.25">
      <c r="L131" s="5">
        <v>4.99</v>
      </c>
      <c r="P131" s="19">
        <v>10590</v>
      </c>
      <c r="Q131" s="20">
        <v>44900</v>
      </c>
      <c r="R131" s="21" t="s">
        <v>21</v>
      </c>
      <c r="S131" s="22">
        <v>12.99</v>
      </c>
      <c r="T131" s="23">
        <v>554.27</v>
      </c>
      <c r="U131" s="21" t="s">
        <v>10</v>
      </c>
      <c r="V131" s="21" t="s">
        <v>22</v>
      </c>
      <c r="W131" s="21" t="s">
        <v>12</v>
      </c>
      <c r="X131" s="24" t="s">
        <v>13</v>
      </c>
    </row>
    <row r="132" spans="12:24" x14ac:dyDescent="0.25">
      <c r="L132" s="5">
        <v>12.99</v>
      </c>
      <c r="P132" s="25">
        <v>10591</v>
      </c>
      <c r="Q132" s="26">
        <v>44900</v>
      </c>
      <c r="R132" s="27" t="s">
        <v>25</v>
      </c>
      <c r="S132" s="28">
        <v>9.9499999999999993</v>
      </c>
      <c r="T132" s="29">
        <v>201.01</v>
      </c>
      <c r="U132" s="27" t="s">
        <v>10</v>
      </c>
      <c r="V132" s="27" t="s">
        <v>22</v>
      </c>
      <c r="W132" s="27" t="s">
        <v>12</v>
      </c>
      <c r="X132" s="30" t="s">
        <v>13</v>
      </c>
    </row>
    <row r="133" spans="12:24" x14ac:dyDescent="0.25">
      <c r="L133" s="5">
        <v>9.9499999999999993</v>
      </c>
      <c r="P133" s="19">
        <v>10592</v>
      </c>
      <c r="Q133" s="20">
        <v>44900</v>
      </c>
      <c r="R133" s="21" t="s">
        <v>9</v>
      </c>
      <c r="S133" s="22">
        <v>3.49</v>
      </c>
      <c r="T133" s="23">
        <v>573.07000000000005</v>
      </c>
      <c r="U133" s="21" t="s">
        <v>10</v>
      </c>
      <c r="V133" s="21" t="s">
        <v>22</v>
      </c>
      <c r="W133" s="21" t="s">
        <v>12</v>
      </c>
      <c r="X133" s="24" t="s">
        <v>13</v>
      </c>
    </row>
    <row r="134" spans="12:24" x14ac:dyDescent="0.25">
      <c r="L134" s="5">
        <v>3.49</v>
      </c>
      <c r="P134" s="25">
        <v>10593</v>
      </c>
      <c r="Q134" s="26">
        <v>44900</v>
      </c>
      <c r="R134" s="27" t="s">
        <v>14</v>
      </c>
      <c r="S134" s="28">
        <v>2.95</v>
      </c>
      <c r="T134" s="29">
        <v>677.97</v>
      </c>
      <c r="U134" s="27" t="s">
        <v>10</v>
      </c>
      <c r="V134" s="27" t="s">
        <v>22</v>
      </c>
      <c r="W134" s="27" t="s">
        <v>12</v>
      </c>
      <c r="X134" s="30" t="s">
        <v>13</v>
      </c>
    </row>
    <row r="135" spans="12:24" x14ac:dyDescent="0.25">
      <c r="L135" s="5">
        <v>2.95</v>
      </c>
      <c r="P135" s="19">
        <v>10594</v>
      </c>
      <c r="Q135" s="20">
        <v>44900</v>
      </c>
      <c r="R135" s="21" t="s">
        <v>17</v>
      </c>
      <c r="S135" s="22">
        <v>4.99</v>
      </c>
      <c r="T135" s="23">
        <v>200.4</v>
      </c>
      <c r="U135" s="21" t="s">
        <v>10</v>
      </c>
      <c r="V135" s="21" t="s">
        <v>22</v>
      </c>
      <c r="W135" s="21" t="s">
        <v>12</v>
      </c>
      <c r="X135" s="24" t="s">
        <v>13</v>
      </c>
    </row>
    <row r="136" spans="12:24" x14ac:dyDescent="0.25">
      <c r="L136" s="5">
        <v>4.99</v>
      </c>
      <c r="P136" s="25">
        <v>10595</v>
      </c>
      <c r="Q136" s="26">
        <v>44901</v>
      </c>
      <c r="R136" s="27" t="s">
        <v>21</v>
      </c>
      <c r="S136" s="28">
        <v>12.99</v>
      </c>
      <c r="T136" s="29">
        <v>538.88</v>
      </c>
      <c r="U136" s="27" t="s">
        <v>10</v>
      </c>
      <c r="V136" s="27" t="s">
        <v>22</v>
      </c>
      <c r="W136" s="27" t="s">
        <v>12</v>
      </c>
      <c r="X136" s="30" t="s">
        <v>13</v>
      </c>
    </row>
    <row r="137" spans="12:24" x14ac:dyDescent="0.25">
      <c r="L137" s="5">
        <v>12.99</v>
      </c>
      <c r="P137" s="19">
        <v>10596</v>
      </c>
      <c r="Q137" s="20">
        <v>44901</v>
      </c>
      <c r="R137" s="21" t="s">
        <v>25</v>
      </c>
      <c r="S137" s="22">
        <v>9.9499999999999993</v>
      </c>
      <c r="T137" s="23">
        <v>201.01</v>
      </c>
      <c r="U137" s="21" t="s">
        <v>10</v>
      </c>
      <c r="V137" s="21" t="s">
        <v>22</v>
      </c>
      <c r="W137" s="21" t="s">
        <v>12</v>
      </c>
      <c r="X137" s="24" t="s">
        <v>13</v>
      </c>
    </row>
    <row r="138" spans="12:24" x14ac:dyDescent="0.25">
      <c r="L138" s="5">
        <v>9.9499999999999993</v>
      </c>
      <c r="P138" s="25">
        <v>10597</v>
      </c>
      <c r="Q138" s="26">
        <v>44901</v>
      </c>
      <c r="R138" s="27" t="s">
        <v>9</v>
      </c>
      <c r="S138" s="28">
        <v>3.49</v>
      </c>
      <c r="T138" s="29">
        <v>573.07000000000005</v>
      </c>
      <c r="U138" s="27" t="s">
        <v>10</v>
      </c>
      <c r="V138" s="27" t="s">
        <v>22</v>
      </c>
      <c r="W138" s="27" t="s">
        <v>12</v>
      </c>
      <c r="X138" s="30" t="s">
        <v>13</v>
      </c>
    </row>
    <row r="139" spans="12:24" x14ac:dyDescent="0.25">
      <c r="L139" s="5">
        <v>3.49</v>
      </c>
      <c r="P139" s="19">
        <v>10598</v>
      </c>
      <c r="Q139" s="20">
        <v>44901</v>
      </c>
      <c r="R139" s="21" t="s">
        <v>14</v>
      </c>
      <c r="S139" s="22">
        <v>2.95</v>
      </c>
      <c r="T139" s="23">
        <v>677.97</v>
      </c>
      <c r="U139" s="21" t="s">
        <v>10</v>
      </c>
      <c r="V139" s="21" t="s">
        <v>22</v>
      </c>
      <c r="W139" s="21" t="s">
        <v>12</v>
      </c>
      <c r="X139" s="24" t="s">
        <v>13</v>
      </c>
    </row>
    <row r="140" spans="12:24" x14ac:dyDescent="0.25">
      <c r="L140" s="5">
        <v>2.95</v>
      </c>
      <c r="P140" s="25">
        <v>10599</v>
      </c>
      <c r="Q140" s="26">
        <v>44901</v>
      </c>
      <c r="R140" s="27" t="s">
        <v>17</v>
      </c>
      <c r="S140" s="28">
        <v>4.99</v>
      </c>
      <c r="T140" s="29">
        <v>200.4</v>
      </c>
      <c r="U140" s="27" t="s">
        <v>10</v>
      </c>
      <c r="V140" s="27" t="s">
        <v>22</v>
      </c>
      <c r="W140" s="27" t="s">
        <v>12</v>
      </c>
      <c r="X140" s="30" t="s">
        <v>13</v>
      </c>
    </row>
    <row r="141" spans="12:24" x14ac:dyDescent="0.25">
      <c r="L141" s="5">
        <v>4.99</v>
      </c>
      <c r="P141" s="19">
        <v>10600</v>
      </c>
      <c r="Q141" s="20">
        <v>44902</v>
      </c>
      <c r="R141" s="21" t="s">
        <v>21</v>
      </c>
      <c r="S141" s="22">
        <v>12.99</v>
      </c>
      <c r="T141" s="23">
        <v>523.48</v>
      </c>
      <c r="U141" s="21" t="s">
        <v>10</v>
      </c>
      <c r="V141" s="21" t="s">
        <v>22</v>
      </c>
      <c r="W141" s="21" t="s">
        <v>12</v>
      </c>
      <c r="X141" s="24" t="s">
        <v>13</v>
      </c>
    </row>
    <row r="142" spans="12:24" x14ac:dyDescent="0.25">
      <c r="L142" s="5">
        <v>12.99</v>
      </c>
      <c r="P142" s="25">
        <v>10601</v>
      </c>
      <c r="Q142" s="26">
        <v>44902</v>
      </c>
      <c r="R142" s="27" t="s">
        <v>25</v>
      </c>
      <c r="S142" s="28">
        <v>9.9499999999999993</v>
      </c>
      <c r="T142" s="29">
        <v>201.01</v>
      </c>
      <c r="U142" s="27" t="s">
        <v>10</v>
      </c>
      <c r="V142" s="27" t="s">
        <v>22</v>
      </c>
      <c r="W142" s="27" t="s">
        <v>12</v>
      </c>
      <c r="X142" s="30" t="s">
        <v>13</v>
      </c>
    </row>
    <row r="143" spans="12:24" x14ac:dyDescent="0.25">
      <c r="L143" s="5">
        <v>9.9499999999999993</v>
      </c>
      <c r="P143" s="19">
        <v>10602</v>
      </c>
      <c r="Q143" s="20">
        <v>44902</v>
      </c>
      <c r="R143" s="21" t="s">
        <v>9</v>
      </c>
      <c r="S143" s="22">
        <v>3.49</v>
      </c>
      <c r="T143" s="23">
        <v>630.37</v>
      </c>
      <c r="U143" s="21" t="s">
        <v>10</v>
      </c>
      <c r="V143" s="21" t="s">
        <v>29</v>
      </c>
      <c r="W143" s="21" t="s">
        <v>12</v>
      </c>
      <c r="X143" s="24" t="s">
        <v>13</v>
      </c>
    </row>
    <row r="144" spans="12:24" x14ac:dyDescent="0.25">
      <c r="L144" s="5">
        <v>3.49</v>
      </c>
      <c r="P144" s="25">
        <v>10603</v>
      </c>
      <c r="Q144" s="26">
        <v>44902</v>
      </c>
      <c r="R144" s="27" t="s">
        <v>14</v>
      </c>
      <c r="S144" s="28">
        <v>2.95</v>
      </c>
      <c r="T144" s="29">
        <v>677.97</v>
      </c>
      <c r="U144" s="27" t="s">
        <v>10</v>
      </c>
      <c r="V144" s="27" t="s">
        <v>29</v>
      </c>
      <c r="W144" s="27" t="s">
        <v>12</v>
      </c>
      <c r="X144" s="30" t="s">
        <v>13</v>
      </c>
    </row>
    <row r="145" spans="12:24" x14ac:dyDescent="0.25">
      <c r="L145" s="5">
        <v>2.95</v>
      </c>
      <c r="P145" s="19">
        <v>10604</v>
      </c>
      <c r="Q145" s="20">
        <v>44902</v>
      </c>
      <c r="R145" s="21" t="s">
        <v>17</v>
      </c>
      <c r="S145" s="22">
        <v>4.99</v>
      </c>
      <c r="T145" s="23">
        <v>200.4</v>
      </c>
      <c r="U145" s="21" t="s">
        <v>10</v>
      </c>
      <c r="V145" s="21" t="s">
        <v>29</v>
      </c>
      <c r="W145" s="21" t="s">
        <v>12</v>
      </c>
      <c r="X145" s="24" t="s">
        <v>13</v>
      </c>
    </row>
    <row r="146" spans="12:24" x14ac:dyDescent="0.25">
      <c r="L146" s="5">
        <v>4.99</v>
      </c>
      <c r="P146" s="25">
        <v>10605</v>
      </c>
      <c r="Q146" s="26">
        <v>44903</v>
      </c>
      <c r="R146" s="27" t="s">
        <v>21</v>
      </c>
      <c r="S146" s="28">
        <v>12.99</v>
      </c>
      <c r="T146" s="29">
        <v>538.88</v>
      </c>
      <c r="U146" s="27" t="s">
        <v>10</v>
      </c>
      <c r="V146" s="27" t="s">
        <v>29</v>
      </c>
      <c r="W146" s="27" t="s">
        <v>12</v>
      </c>
      <c r="X146" s="30" t="s">
        <v>13</v>
      </c>
    </row>
    <row r="147" spans="12:24" x14ac:dyDescent="0.25">
      <c r="L147" s="5">
        <v>12.99</v>
      </c>
      <c r="P147" s="19">
        <v>10606</v>
      </c>
      <c r="Q147" s="20">
        <v>44903</v>
      </c>
      <c r="R147" s="21" t="s">
        <v>25</v>
      </c>
      <c r="S147" s="22">
        <v>9.9499999999999993</v>
      </c>
      <c r="T147" s="23">
        <v>201.01</v>
      </c>
      <c r="U147" s="21" t="s">
        <v>10</v>
      </c>
      <c r="V147" s="21" t="s">
        <v>29</v>
      </c>
      <c r="W147" s="21" t="s">
        <v>12</v>
      </c>
      <c r="X147" s="24" t="s">
        <v>13</v>
      </c>
    </row>
    <row r="148" spans="12:24" x14ac:dyDescent="0.25">
      <c r="L148" s="5">
        <v>9.9499999999999993</v>
      </c>
      <c r="P148" s="25">
        <v>10607</v>
      </c>
      <c r="Q148" s="26">
        <v>44903</v>
      </c>
      <c r="R148" s="27" t="s">
        <v>9</v>
      </c>
      <c r="S148" s="28">
        <v>3.49</v>
      </c>
      <c r="T148" s="29">
        <v>630.37</v>
      </c>
      <c r="U148" s="27" t="s">
        <v>10</v>
      </c>
      <c r="V148" s="27" t="s">
        <v>29</v>
      </c>
      <c r="W148" s="27" t="s">
        <v>12</v>
      </c>
      <c r="X148" s="30" t="s">
        <v>13</v>
      </c>
    </row>
    <row r="149" spans="12:24" x14ac:dyDescent="0.25">
      <c r="L149" s="5">
        <v>3.49</v>
      </c>
      <c r="P149" s="19">
        <v>10608</v>
      </c>
      <c r="Q149" s="20">
        <v>44903</v>
      </c>
      <c r="R149" s="21" t="s">
        <v>14</v>
      </c>
      <c r="S149" s="22">
        <v>2.95</v>
      </c>
      <c r="T149" s="23">
        <v>677.97</v>
      </c>
      <c r="U149" s="21" t="s">
        <v>10</v>
      </c>
      <c r="V149" s="21" t="s">
        <v>11</v>
      </c>
      <c r="W149" s="21" t="s">
        <v>12</v>
      </c>
      <c r="X149" s="24" t="s">
        <v>13</v>
      </c>
    </row>
    <row r="150" spans="12:24" x14ac:dyDescent="0.25">
      <c r="L150" s="5">
        <v>2.95</v>
      </c>
      <c r="P150" s="25">
        <v>10609</v>
      </c>
      <c r="Q150" s="26">
        <v>44903</v>
      </c>
      <c r="R150" s="27" t="s">
        <v>17</v>
      </c>
      <c r="S150" s="28">
        <v>4.99</v>
      </c>
      <c r="T150" s="29">
        <v>200.4</v>
      </c>
      <c r="U150" s="27" t="s">
        <v>10</v>
      </c>
      <c r="V150" s="27" t="s">
        <v>11</v>
      </c>
      <c r="W150" s="27" t="s">
        <v>12</v>
      </c>
      <c r="X150" s="30" t="s">
        <v>13</v>
      </c>
    </row>
    <row r="151" spans="12:24" x14ac:dyDescent="0.25">
      <c r="L151" s="5">
        <v>4.99</v>
      </c>
      <c r="P151" s="19">
        <v>10610</v>
      </c>
      <c r="Q151" s="20">
        <v>44904</v>
      </c>
      <c r="R151" s="21" t="s">
        <v>21</v>
      </c>
      <c r="S151" s="22">
        <v>12.99</v>
      </c>
      <c r="T151" s="23">
        <v>569.66999999999996</v>
      </c>
      <c r="U151" s="21" t="s">
        <v>10</v>
      </c>
      <c r="V151" s="21" t="s">
        <v>11</v>
      </c>
      <c r="W151" s="21" t="s">
        <v>12</v>
      </c>
      <c r="X151" s="24" t="s">
        <v>13</v>
      </c>
    </row>
    <row r="152" spans="12:24" x14ac:dyDescent="0.25">
      <c r="L152" s="5">
        <v>12.99</v>
      </c>
      <c r="P152" s="25">
        <v>10611</v>
      </c>
      <c r="Q152" s="26">
        <v>44904</v>
      </c>
      <c r="R152" s="27" t="s">
        <v>25</v>
      </c>
      <c r="S152" s="28">
        <v>9.9499999999999993</v>
      </c>
      <c r="T152" s="29">
        <v>201.01</v>
      </c>
      <c r="U152" s="27" t="s">
        <v>10</v>
      </c>
      <c r="V152" s="27" t="s">
        <v>11</v>
      </c>
      <c r="W152" s="27" t="s">
        <v>12</v>
      </c>
      <c r="X152" s="30" t="s">
        <v>13</v>
      </c>
    </row>
    <row r="153" spans="12:24" x14ac:dyDescent="0.25">
      <c r="L153" s="5">
        <v>9.9499999999999993</v>
      </c>
      <c r="P153" s="19">
        <v>10612</v>
      </c>
      <c r="Q153" s="20">
        <v>44904</v>
      </c>
      <c r="R153" s="21" t="s">
        <v>9</v>
      </c>
      <c r="S153" s="22">
        <v>3.49</v>
      </c>
      <c r="T153" s="23">
        <v>630.37</v>
      </c>
      <c r="U153" s="21" t="s">
        <v>10</v>
      </c>
      <c r="V153" s="21" t="s">
        <v>11</v>
      </c>
      <c r="W153" s="21" t="s">
        <v>12</v>
      </c>
      <c r="X153" s="24" t="s">
        <v>13</v>
      </c>
    </row>
    <row r="154" spans="12:24" x14ac:dyDescent="0.25">
      <c r="L154" s="5">
        <v>3.49</v>
      </c>
      <c r="P154" s="25">
        <v>10613</v>
      </c>
      <c r="Q154" s="26">
        <v>44904</v>
      </c>
      <c r="R154" s="27" t="s">
        <v>14</v>
      </c>
      <c r="S154" s="28">
        <v>2.95</v>
      </c>
      <c r="T154" s="29">
        <v>677.97</v>
      </c>
      <c r="U154" s="27" t="s">
        <v>10</v>
      </c>
      <c r="V154" s="27" t="s">
        <v>11</v>
      </c>
      <c r="W154" s="27" t="s">
        <v>12</v>
      </c>
      <c r="X154" s="30" t="s">
        <v>13</v>
      </c>
    </row>
    <row r="155" spans="12:24" x14ac:dyDescent="0.25">
      <c r="L155" s="5">
        <v>2.95</v>
      </c>
      <c r="P155" s="19">
        <v>10614</v>
      </c>
      <c r="Q155" s="20">
        <v>44904</v>
      </c>
      <c r="R155" s="21" t="s">
        <v>17</v>
      </c>
      <c r="S155" s="22">
        <v>4.99</v>
      </c>
      <c r="T155" s="23">
        <v>200.4</v>
      </c>
      <c r="U155" s="21" t="s">
        <v>10</v>
      </c>
      <c r="V155" s="21" t="s">
        <v>11</v>
      </c>
      <c r="W155" s="21" t="s">
        <v>12</v>
      </c>
      <c r="X155" s="24" t="s">
        <v>13</v>
      </c>
    </row>
    <row r="156" spans="12:24" x14ac:dyDescent="0.25">
      <c r="L156" s="5">
        <v>4.99</v>
      </c>
      <c r="P156" s="25">
        <v>10615</v>
      </c>
      <c r="Q156" s="26">
        <v>44905</v>
      </c>
      <c r="R156" s="27" t="s">
        <v>21</v>
      </c>
      <c r="S156" s="28">
        <v>12.99</v>
      </c>
      <c r="T156" s="29">
        <v>569.66999999999996</v>
      </c>
      <c r="U156" s="27" t="s">
        <v>10</v>
      </c>
      <c r="V156" s="27" t="s">
        <v>11</v>
      </c>
      <c r="W156" s="27" t="s">
        <v>12</v>
      </c>
      <c r="X156" s="30" t="s">
        <v>13</v>
      </c>
    </row>
    <row r="157" spans="12:24" x14ac:dyDescent="0.25">
      <c r="L157" s="5">
        <v>12.99</v>
      </c>
      <c r="P157" s="19">
        <v>10616</v>
      </c>
      <c r="Q157" s="20">
        <v>44905</v>
      </c>
      <c r="R157" s="21" t="s">
        <v>25</v>
      </c>
      <c r="S157" s="22">
        <v>9.9499999999999993</v>
      </c>
      <c r="T157" s="23">
        <v>201.01</v>
      </c>
      <c r="U157" s="21" t="s">
        <v>10</v>
      </c>
      <c r="V157" s="21" t="s">
        <v>11</v>
      </c>
      <c r="W157" s="21" t="s">
        <v>12</v>
      </c>
      <c r="X157" s="24" t="s">
        <v>13</v>
      </c>
    </row>
    <row r="158" spans="12:24" x14ac:dyDescent="0.25">
      <c r="L158" s="5">
        <v>9.9499999999999993</v>
      </c>
      <c r="P158" s="25">
        <v>10617</v>
      </c>
      <c r="Q158" s="26">
        <v>44905</v>
      </c>
      <c r="R158" s="27" t="s">
        <v>9</v>
      </c>
      <c r="S158" s="28">
        <v>3.49</v>
      </c>
      <c r="T158" s="29">
        <v>630.37</v>
      </c>
      <c r="U158" s="27" t="s">
        <v>10</v>
      </c>
      <c r="V158" s="27" t="s">
        <v>11</v>
      </c>
      <c r="W158" s="27" t="s">
        <v>12</v>
      </c>
      <c r="X158" s="30" t="s">
        <v>13</v>
      </c>
    </row>
    <row r="159" spans="12:24" x14ac:dyDescent="0.25">
      <c r="L159" s="5">
        <v>3.49</v>
      </c>
      <c r="P159" s="19">
        <v>10618</v>
      </c>
      <c r="Q159" s="20">
        <v>44905</v>
      </c>
      <c r="R159" s="21" t="s">
        <v>14</v>
      </c>
      <c r="S159" s="22">
        <v>2.95</v>
      </c>
      <c r="T159" s="23">
        <v>677.97</v>
      </c>
      <c r="U159" s="21" t="s">
        <v>10</v>
      </c>
      <c r="V159" s="21" t="s">
        <v>11</v>
      </c>
      <c r="W159" s="21" t="s">
        <v>12</v>
      </c>
      <c r="X159" s="24" t="s">
        <v>13</v>
      </c>
    </row>
    <row r="160" spans="12:24" x14ac:dyDescent="0.25">
      <c r="L160" s="5">
        <v>2.95</v>
      </c>
      <c r="P160" s="25">
        <v>10619</v>
      </c>
      <c r="Q160" s="26">
        <v>44905</v>
      </c>
      <c r="R160" s="27" t="s">
        <v>17</v>
      </c>
      <c r="S160" s="28">
        <v>4.99</v>
      </c>
      <c r="T160" s="29">
        <v>200.4</v>
      </c>
      <c r="U160" s="27" t="s">
        <v>10</v>
      </c>
      <c r="V160" s="27" t="s">
        <v>11</v>
      </c>
      <c r="W160" s="27" t="s">
        <v>12</v>
      </c>
      <c r="X160" s="30" t="s">
        <v>13</v>
      </c>
    </row>
    <row r="161" spans="12:24" x14ac:dyDescent="0.25">
      <c r="L161" s="5">
        <v>4.99</v>
      </c>
      <c r="P161" s="19">
        <v>10620</v>
      </c>
      <c r="Q161" s="20">
        <v>44906</v>
      </c>
      <c r="R161" s="21" t="s">
        <v>21</v>
      </c>
      <c r="S161" s="22">
        <v>12.99</v>
      </c>
      <c r="T161" s="23">
        <v>585.07000000000005</v>
      </c>
      <c r="U161" s="21" t="s">
        <v>10</v>
      </c>
      <c r="V161" s="21" t="s">
        <v>11</v>
      </c>
      <c r="W161" s="21" t="s">
        <v>12</v>
      </c>
      <c r="X161" s="24" t="s">
        <v>13</v>
      </c>
    </row>
    <row r="162" spans="12:24" x14ac:dyDescent="0.25">
      <c r="L162" s="5">
        <v>12.99</v>
      </c>
      <c r="P162" s="25">
        <v>10621</v>
      </c>
      <c r="Q162" s="26">
        <v>44906</v>
      </c>
      <c r="R162" s="27" t="s">
        <v>25</v>
      </c>
      <c r="S162" s="28">
        <v>9.9499999999999993</v>
      </c>
      <c r="T162" s="29">
        <v>201.01</v>
      </c>
      <c r="U162" s="27" t="s">
        <v>10</v>
      </c>
      <c r="V162" s="27" t="s">
        <v>11</v>
      </c>
      <c r="W162" s="27" t="s">
        <v>12</v>
      </c>
      <c r="X162" s="30" t="s">
        <v>13</v>
      </c>
    </row>
    <row r="163" spans="12:24" x14ac:dyDescent="0.25">
      <c r="L163" s="5">
        <v>9.9499999999999993</v>
      </c>
      <c r="P163" s="19">
        <v>10622</v>
      </c>
      <c r="Q163" s="20">
        <v>44906</v>
      </c>
      <c r="R163" s="21" t="s">
        <v>9</v>
      </c>
      <c r="S163" s="22">
        <v>3.49</v>
      </c>
      <c r="T163" s="23">
        <v>630.37</v>
      </c>
      <c r="U163" s="21" t="s">
        <v>10</v>
      </c>
      <c r="V163" s="21" t="s">
        <v>11</v>
      </c>
      <c r="W163" s="21" t="s">
        <v>12</v>
      </c>
      <c r="X163" s="24" t="s">
        <v>13</v>
      </c>
    </row>
    <row r="164" spans="12:24" x14ac:dyDescent="0.25">
      <c r="L164" s="5">
        <v>3.49</v>
      </c>
      <c r="P164" s="25">
        <v>10623</v>
      </c>
      <c r="Q164" s="26">
        <v>44906</v>
      </c>
      <c r="R164" s="27" t="s">
        <v>14</v>
      </c>
      <c r="S164" s="28">
        <v>2.95</v>
      </c>
      <c r="T164" s="29">
        <v>745.76</v>
      </c>
      <c r="U164" s="27" t="s">
        <v>10</v>
      </c>
      <c r="V164" s="27" t="s">
        <v>11</v>
      </c>
      <c r="W164" s="27" t="s">
        <v>12</v>
      </c>
      <c r="X164" s="30" t="s">
        <v>13</v>
      </c>
    </row>
    <row r="165" spans="12:24" x14ac:dyDescent="0.25">
      <c r="L165" s="5">
        <v>2.95</v>
      </c>
      <c r="P165" s="19">
        <v>10624</v>
      </c>
      <c r="Q165" s="20">
        <v>44906</v>
      </c>
      <c r="R165" s="21" t="s">
        <v>17</v>
      </c>
      <c r="S165" s="22">
        <v>4.99</v>
      </c>
      <c r="T165" s="23">
        <v>200.4</v>
      </c>
      <c r="U165" s="21" t="s">
        <v>10</v>
      </c>
      <c r="V165" s="21" t="s">
        <v>11</v>
      </c>
      <c r="W165" s="21" t="s">
        <v>12</v>
      </c>
      <c r="X165" s="24" t="s">
        <v>13</v>
      </c>
    </row>
    <row r="166" spans="12:24" x14ac:dyDescent="0.25">
      <c r="L166" s="5">
        <v>4.99</v>
      </c>
      <c r="P166" s="25">
        <v>10625</v>
      </c>
      <c r="Q166" s="26">
        <v>44907</v>
      </c>
      <c r="R166" s="27" t="s">
        <v>21</v>
      </c>
      <c r="S166" s="28">
        <v>12.99</v>
      </c>
      <c r="T166" s="29">
        <v>569.66999999999996</v>
      </c>
      <c r="U166" s="27" t="s">
        <v>10</v>
      </c>
      <c r="V166" s="27" t="s">
        <v>11</v>
      </c>
      <c r="W166" s="27" t="s">
        <v>12</v>
      </c>
      <c r="X166" s="30" t="s">
        <v>13</v>
      </c>
    </row>
    <row r="167" spans="12:24" x14ac:dyDescent="0.25">
      <c r="L167" s="5">
        <v>12.99</v>
      </c>
      <c r="P167" s="19">
        <v>10626</v>
      </c>
      <c r="Q167" s="20">
        <v>44907</v>
      </c>
      <c r="R167" s="21" t="s">
        <v>25</v>
      </c>
      <c r="S167" s="22">
        <v>9.9499999999999993</v>
      </c>
      <c r="T167" s="23">
        <v>201.01</v>
      </c>
      <c r="U167" s="21" t="s">
        <v>10</v>
      </c>
      <c r="V167" s="21" t="s">
        <v>11</v>
      </c>
      <c r="W167" s="21" t="s">
        <v>12</v>
      </c>
      <c r="X167" s="24" t="s">
        <v>13</v>
      </c>
    </row>
    <row r="168" spans="12:24" x14ac:dyDescent="0.25">
      <c r="L168" s="5">
        <v>9.9499999999999993</v>
      </c>
      <c r="P168" s="25">
        <v>10627</v>
      </c>
      <c r="Q168" s="26">
        <v>44907</v>
      </c>
      <c r="R168" s="27" t="s">
        <v>9</v>
      </c>
      <c r="S168" s="28">
        <v>3.49</v>
      </c>
      <c r="T168" s="29">
        <v>630.37</v>
      </c>
      <c r="U168" s="27" t="s">
        <v>10</v>
      </c>
      <c r="V168" s="27" t="s">
        <v>11</v>
      </c>
      <c r="W168" s="27" t="s">
        <v>12</v>
      </c>
      <c r="X168" s="30" t="s">
        <v>13</v>
      </c>
    </row>
    <row r="169" spans="12:24" x14ac:dyDescent="0.25">
      <c r="L169" s="5">
        <v>3.49</v>
      </c>
      <c r="P169" s="19">
        <v>10628</v>
      </c>
      <c r="Q169" s="20">
        <v>44907</v>
      </c>
      <c r="R169" s="21" t="s">
        <v>14</v>
      </c>
      <c r="S169" s="22">
        <v>2.95</v>
      </c>
      <c r="T169" s="23">
        <v>677.97</v>
      </c>
      <c r="U169" s="21" t="s">
        <v>10</v>
      </c>
      <c r="V169" s="21" t="s">
        <v>11</v>
      </c>
      <c r="W169" s="21" t="s">
        <v>19</v>
      </c>
      <c r="X169" s="24" t="s">
        <v>20</v>
      </c>
    </row>
    <row r="170" spans="12:24" x14ac:dyDescent="0.25">
      <c r="L170" s="5">
        <v>2.95</v>
      </c>
      <c r="P170" s="25">
        <v>10629</v>
      </c>
      <c r="Q170" s="26">
        <v>44907</v>
      </c>
      <c r="R170" s="27" t="s">
        <v>17</v>
      </c>
      <c r="S170" s="28">
        <v>4.99</v>
      </c>
      <c r="T170" s="29">
        <v>200.4</v>
      </c>
      <c r="U170" s="27" t="s">
        <v>10</v>
      </c>
      <c r="V170" s="27" t="s">
        <v>11</v>
      </c>
      <c r="W170" s="27" t="s">
        <v>19</v>
      </c>
      <c r="X170" s="30" t="s">
        <v>20</v>
      </c>
    </row>
    <row r="171" spans="12:24" x14ac:dyDescent="0.25">
      <c r="L171" s="5">
        <v>4.99</v>
      </c>
      <c r="P171" s="19">
        <v>10630</v>
      </c>
      <c r="Q171" s="20">
        <v>44908</v>
      </c>
      <c r="R171" s="21" t="s">
        <v>21</v>
      </c>
      <c r="S171" s="22">
        <v>12.99</v>
      </c>
      <c r="T171" s="23">
        <v>569.66999999999996</v>
      </c>
      <c r="U171" s="21" t="s">
        <v>10</v>
      </c>
      <c r="V171" s="21" t="s">
        <v>29</v>
      </c>
      <c r="W171" s="21" t="s">
        <v>19</v>
      </c>
      <c r="X171" s="24" t="s">
        <v>20</v>
      </c>
    </row>
    <row r="172" spans="12:24" x14ac:dyDescent="0.25">
      <c r="L172" s="5">
        <v>12.99</v>
      </c>
      <c r="P172" s="25">
        <v>10631</v>
      </c>
      <c r="Q172" s="26">
        <v>44908</v>
      </c>
      <c r="R172" s="27" t="s">
        <v>25</v>
      </c>
      <c r="S172" s="28">
        <v>9.9499999999999993</v>
      </c>
      <c r="T172" s="29">
        <v>201.01</v>
      </c>
      <c r="U172" s="27" t="s">
        <v>10</v>
      </c>
      <c r="V172" s="27" t="s">
        <v>11</v>
      </c>
      <c r="W172" s="27" t="s">
        <v>19</v>
      </c>
      <c r="X172" s="30" t="s">
        <v>20</v>
      </c>
    </row>
    <row r="173" spans="12:24" x14ac:dyDescent="0.25">
      <c r="L173" s="5">
        <v>9.9499999999999993</v>
      </c>
      <c r="P173" s="19">
        <v>10632</v>
      </c>
      <c r="Q173" s="20">
        <v>44908</v>
      </c>
      <c r="R173" s="21" t="s">
        <v>9</v>
      </c>
      <c r="S173" s="22">
        <v>3.49</v>
      </c>
      <c r="T173" s="23">
        <v>630.37</v>
      </c>
      <c r="U173" s="21" t="s">
        <v>10</v>
      </c>
      <c r="V173" s="21" t="s">
        <v>11</v>
      </c>
      <c r="W173" s="21" t="s">
        <v>19</v>
      </c>
      <c r="X173" s="24" t="s">
        <v>20</v>
      </c>
    </row>
    <row r="174" spans="12:24" x14ac:dyDescent="0.25">
      <c r="L174" s="5">
        <v>3.49</v>
      </c>
      <c r="P174" s="25">
        <v>10633</v>
      </c>
      <c r="Q174" s="26">
        <v>44908</v>
      </c>
      <c r="R174" s="27" t="s">
        <v>14</v>
      </c>
      <c r="S174" s="28">
        <v>2.95</v>
      </c>
      <c r="T174" s="29">
        <v>677.97</v>
      </c>
      <c r="U174" s="27" t="s">
        <v>10</v>
      </c>
      <c r="V174" s="27" t="s">
        <v>11</v>
      </c>
      <c r="W174" s="27" t="s">
        <v>19</v>
      </c>
      <c r="X174" s="30" t="s">
        <v>20</v>
      </c>
    </row>
    <row r="175" spans="12:24" x14ac:dyDescent="0.25">
      <c r="L175" s="5">
        <v>2.95</v>
      </c>
      <c r="P175" s="19">
        <v>10634</v>
      </c>
      <c r="Q175" s="20">
        <v>44908</v>
      </c>
      <c r="R175" s="21" t="s">
        <v>17</v>
      </c>
      <c r="S175" s="22">
        <v>4.99</v>
      </c>
      <c r="T175" s="23">
        <v>200.4</v>
      </c>
      <c r="U175" s="21" t="s">
        <v>10</v>
      </c>
      <c r="V175" s="21" t="s">
        <v>11</v>
      </c>
      <c r="W175" s="21" t="s">
        <v>19</v>
      </c>
      <c r="X175" s="24" t="s">
        <v>20</v>
      </c>
    </row>
    <row r="176" spans="12:24" x14ac:dyDescent="0.25">
      <c r="L176" s="5">
        <v>4.99</v>
      </c>
      <c r="P176" s="25">
        <v>10635</v>
      </c>
      <c r="Q176" s="26">
        <v>44909</v>
      </c>
      <c r="R176" s="27" t="s">
        <v>21</v>
      </c>
      <c r="S176" s="28">
        <v>12.99</v>
      </c>
      <c r="T176" s="29">
        <v>554.27</v>
      </c>
      <c r="U176" s="27" t="s">
        <v>10</v>
      </c>
      <c r="V176" s="27" t="s">
        <v>11</v>
      </c>
      <c r="W176" s="27" t="s">
        <v>19</v>
      </c>
      <c r="X176" s="30" t="s">
        <v>20</v>
      </c>
    </row>
    <row r="177" spans="12:24" x14ac:dyDescent="0.25">
      <c r="L177" s="5">
        <v>12.99</v>
      </c>
      <c r="P177" s="19">
        <v>10636</v>
      </c>
      <c r="Q177" s="20">
        <v>44909</v>
      </c>
      <c r="R177" s="21" t="s">
        <v>25</v>
      </c>
      <c r="S177" s="22">
        <v>9.9499999999999993</v>
      </c>
      <c r="T177" s="23">
        <v>221.11</v>
      </c>
      <c r="U177" s="21" t="s">
        <v>10</v>
      </c>
      <c r="V177" s="21" t="s">
        <v>11</v>
      </c>
      <c r="W177" s="21" t="s">
        <v>19</v>
      </c>
      <c r="X177" s="24" t="s">
        <v>20</v>
      </c>
    </row>
    <row r="178" spans="12:24" x14ac:dyDescent="0.25">
      <c r="L178" s="5">
        <v>9.9499999999999993</v>
      </c>
      <c r="P178" s="25">
        <v>10637</v>
      </c>
      <c r="Q178" s="26">
        <v>44909</v>
      </c>
      <c r="R178" s="27" t="s">
        <v>9</v>
      </c>
      <c r="S178" s="28">
        <v>3.49</v>
      </c>
      <c r="T178" s="29">
        <v>630.37</v>
      </c>
      <c r="U178" s="27" t="s">
        <v>10</v>
      </c>
      <c r="V178" s="27" t="s">
        <v>11</v>
      </c>
      <c r="W178" s="27" t="s">
        <v>19</v>
      </c>
      <c r="X178" s="30" t="s">
        <v>20</v>
      </c>
    </row>
    <row r="179" spans="12:24" x14ac:dyDescent="0.25">
      <c r="L179" s="5">
        <v>3.49</v>
      </c>
      <c r="P179" s="19">
        <v>10638</v>
      </c>
      <c r="Q179" s="20">
        <v>44909</v>
      </c>
      <c r="R179" s="21" t="s">
        <v>14</v>
      </c>
      <c r="S179" s="22">
        <v>2.95</v>
      </c>
      <c r="T179" s="23">
        <v>677.97</v>
      </c>
      <c r="U179" s="21" t="s">
        <v>10</v>
      </c>
      <c r="V179" s="21" t="s">
        <v>11</v>
      </c>
      <c r="W179" s="21" t="s">
        <v>19</v>
      </c>
      <c r="X179" s="24" t="s">
        <v>20</v>
      </c>
    </row>
    <row r="180" spans="12:24" x14ac:dyDescent="0.25">
      <c r="L180" s="5">
        <v>2.95</v>
      </c>
      <c r="P180" s="25">
        <v>10639</v>
      </c>
      <c r="Q180" s="26">
        <v>44909</v>
      </c>
      <c r="R180" s="27" t="s">
        <v>17</v>
      </c>
      <c r="S180" s="28">
        <v>4.99</v>
      </c>
      <c r="T180" s="29">
        <v>200.4</v>
      </c>
      <c r="U180" s="27" t="s">
        <v>10</v>
      </c>
      <c r="V180" s="27" t="s">
        <v>11</v>
      </c>
      <c r="W180" s="27" t="s">
        <v>19</v>
      </c>
      <c r="X180" s="30" t="s">
        <v>20</v>
      </c>
    </row>
    <row r="181" spans="12:24" x14ac:dyDescent="0.25">
      <c r="L181" s="5">
        <v>4.99</v>
      </c>
      <c r="P181" s="19">
        <v>10640</v>
      </c>
      <c r="Q181" s="20">
        <v>44910</v>
      </c>
      <c r="R181" s="21" t="s">
        <v>21</v>
      </c>
      <c r="S181" s="22">
        <v>12.99</v>
      </c>
      <c r="T181" s="23">
        <v>538.88</v>
      </c>
      <c r="U181" s="21" t="s">
        <v>10</v>
      </c>
      <c r="V181" s="21" t="s">
        <v>11</v>
      </c>
      <c r="W181" s="21" t="s">
        <v>19</v>
      </c>
      <c r="X181" s="24" t="s">
        <v>20</v>
      </c>
    </row>
    <row r="182" spans="12:24" x14ac:dyDescent="0.25">
      <c r="L182" s="5">
        <v>12.99</v>
      </c>
      <c r="P182" s="25">
        <v>10641</v>
      </c>
      <c r="Q182" s="26">
        <v>44910</v>
      </c>
      <c r="R182" s="27" t="s">
        <v>25</v>
      </c>
      <c r="S182" s="28">
        <v>9.9499999999999993</v>
      </c>
      <c r="T182" s="29">
        <v>221.11</v>
      </c>
      <c r="U182" s="27" t="s">
        <v>10</v>
      </c>
      <c r="V182" s="27" t="s">
        <v>11</v>
      </c>
      <c r="W182" s="27" t="s">
        <v>19</v>
      </c>
      <c r="X182" s="30" t="s">
        <v>20</v>
      </c>
    </row>
    <row r="183" spans="12:24" x14ac:dyDescent="0.25">
      <c r="L183" s="5">
        <v>9.9499999999999993</v>
      </c>
      <c r="P183" s="19">
        <v>10642</v>
      </c>
      <c r="Q183" s="20">
        <v>44910</v>
      </c>
      <c r="R183" s="21" t="s">
        <v>9</v>
      </c>
      <c r="S183" s="22">
        <v>3.49</v>
      </c>
      <c r="T183" s="23">
        <v>630.37</v>
      </c>
      <c r="U183" s="21" t="s">
        <v>10</v>
      </c>
      <c r="V183" s="21" t="s">
        <v>29</v>
      </c>
      <c r="W183" s="21" t="s">
        <v>19</v>
      </c>
      <c r="X183" s="24" t="s">
        <v>20</v>
      </c>
    </row>
    <row r="184" spans="12:24" x14ac:dyDescent="0.25">
      <c r="L184" s="5">
        <v>3.49</v>
      </c>
      <c r="P184" s="25">
        <v>10643</v>
      </c>
      <c r="Q184" s="26">
        <v>44910</v>
      </c>
      <c r="R184" s="27" t="s">
        <v>14</v>
      </c>
      <c r="S184" s="28">
        <v>2.95</v>
      </c>
      <c r="T184" s="29">
        <v>677.97</v>
      </c>
      <c r="U184" s="27" t="s">
        <v>10</v>
      </c>
      <c r="V184" s="27" t="s">
        <v>29</v>
      </c>
      <c r="W184" s="27" t="s">
        <v>19</v>
      </c>
      <c r="X184" s="30" t="s">
        <v>20</v>
      </c>
    </row>
    <row r="185" spans="12:24" x14ac:dyDescent="0.25">
      <c r="L185" s="5">
        <v>2.95</v>
      </c>
      <c r="P185" s="19">
        <v>10644</v>
      </c>
      <c r="Q185" s="20">
        <v>44910</v>
      </c>
      <c r="R185" s="21" t="s">
        <v>17</v>
      </c>
      <c r="S185" s="22">
        <v>4.99</v>
      </c>
      <c r="T185" s="23">
        <v>200.4</v>
      </c>
      <c r="U185" s="21" t="s">
        <v>10</v>
      </c>
      <c r="V185" s="21" t="s">
        <v>29</v>
      </c>
      <c r="W185" s="21" t="s">
        <v>19</v>
      </c>
      <c r="X185" s="24" t="s">
        <v>20</v>
      </c>
    </row>
    <row r="186" spans="12:24" x14ac:dyDescent="0.25">
      <c r="L186" s="5">
        <v>4.99</v>
      </c>
      <c r="P186" s="25">
        <v>10645</v>
      </c>
      <c r="Q186" s="26">
        <v>44911</v>
      </c>
      <c r="R186" s="27" t="s">
        <v>21</v>
      </c>
      <c r="S186" s="28">
        <v>12.99</v>
      </c>
      <c r="T186" s="29">
        <v>569.66999999999996</v>
      </c>
      <c r="U186" s="27" t="s">
        <v>10</v>
      </c>
      <c r="V186" s="27" t="s">
        <v>29</v>
      </c>
      <c r="W186" s="27" t="s">
        <v>19</v>
      </c>
      <c r="X186" s="30" t="s">
        <v>20</v>
      </c>
    </row>
    <row r="187" spans="12:24" x14ac:dyDescent="0.25">
      <c r="L187" s="5">
        <v>12.99</v>
      </c>
      <c r="P187" s="19">
        <v>10646</v>
      </c>
      <c r="Q187" s="20">
        <v>44911</v>
      </c>
      <c r="R187" s="21" t="s">
        <v>25</v>
      </c>
      <c r="S187" s="22">
        <v>9.9499999999999993</v>
      </c>
      <c r="T187" s="23">
        <v>221.11</v>
      </c>
      <c r="U187" s="21" t="s">
        <v>10</v>
      </c>
      <c r="V187" s="21" t="s">
        <v>29</v>
      </c>
      <c r="W187" s="21" t="s">
        <v>19</v>
      </c>
      <c r="X187" s="24" t="s">
        <v>20</v>
      </c>
    </row>
    <row r="188" spans="12:24" x14ac:dyDescent="0.25">
      <c r="L188" s="5">
        <v>9.9499999999999993</v>
      </c>
      <c r="P188" s="25">
        <v>10647</v>
      </c>
      <c r="Q188" s="26">
        <v>44911</v>
      </c>
      <c r="R188" s="27" t="s">
        <v>9</v>
      </c>
      <c r="S188" s="28">
        <v>3.49</v>
      </c>
      <c r="T188" s="29">
        <v>630.37</v>
      </c>
      <c r="U188" s="27" t="s">
        <v>10</v>
      </c>
      <c r="V188" s="27" t="s">
        <v>11</v>
      </c>
      <c r="W188" s="27" t="s">
        <v>19</v>
      </c>
      <c r="X188" s="30" t="s">
        <v>20</v>
      </c>
    </row>
    <row r="189" spans="12:24" x14ac:dyDescent="0.25">
      <c r="L189" s="5">
        <v>3.49</v>
      </c>
      <c r="P189" s="19">
        <v>10648</v>
      </c>
      <c r="Q189" s="20">
        <v>44911</v>
      </c>
      <c r="R189" s="21" t="s">
        <v>14</v>
      </c>
      <c r="S189" s="22">
        <v>2.95</v>
      </c>
      <c r="T189" s="23">
        <v>745.76</v>
      </c>
      <c r="U189" s="21" t="s">
        <v>10</v>
      </c>
      <c r="V189" s="21" t="s">
        <v>11</v>
      </c>
      <c r="W189" s="21" t="s">
        <v>19</v>
      </c>
      <c r="X189" s="24" t="s">
        <v>20</v>
      </c>
    </row>
    <row r="190" spans="12:24" x14ac:dyDescent="0.25">
      <c r="L190" s="5">
        <v>2.95</v>
      </c>
      <c r="P190" s="25">
        <v>10649</v>
      </c>
      <c r="Q190" s="26">
        <v>44911</v>
      </c>
      <c r="R190" s="27" t="s">
        <v>17</v>
      </c>
      <c r="S190" s="28">
        <v>4.99</v>
      </c>
      <c r="T190" s="29">
        <v>200.4</v>
      </c>
      <c r="U190" s="27" t="s">
        <v>10</v>
      </c>
      <c r="V190" s="27" t="s">
        <v>11</v>
      </c>
      <c r="W190" s="27" t="s">
        <v>19</v>
      </c>
      <c r="X190" s="30" t="s">
        <v>20</v>
      </c>
    </row>
    <row r="191" spans="12:24" x14ac:dyDescent="0.25">
      <c r="L191" s="5">
        <v>4.99</v>
      </c>
      <c r="P191" s="19">
        <v>10650</v>
      </c>
      <c r="Q191" s="20">
        <v>44912</v>
      </c>
      <c r="R191" s="21" t="s">
        <v>21</v>
      </c>
      <c r="S191" s="22">
        <v>12.99</v>
      </c>
      <c r="T191" s="23">
        <v>585.07000000000005</v>
      </c>
      <c r="U191" s="21" t="s">
        <v>10</v>
      </c>
      <c r="V191" s="21" t="s">
        <v>11</v>
      </c>
      <c r="W191" s="21" t="s">
        <v>19</v>
      </c>
      <c r="X191" s="24" t="s">
        <v>20</v>
      </c>
    </row>
    <row r="192" spans="12:24" x14ac:dyDescent="0.25">
      <c r="L192" s="5">
        <v>12.99</v>
      </c>
      <c r="P192" s="25">
        <v>10651</v>
      </c>
      <c r="Q192" s="26">
        <v>44912</v>
      </c>
      <c r="R192" s="27" t="s">
        <v>25</v>
      </c>
      <c r="S192" s="28">
        <v>9.9499999999999993</v>
      </c>
      <c r="T192" s="29">
        <v>221.11</v>
      </c>
      <c r="U192" s="27" t="s">
        <v>10</v>
      </c>
      <c r="V192" s="27" t="s">
        <v>11</v>
      </c>
      <c r="W192" s="27" t="s">
        <v>19</v>
      </c>
      <c r="X192" s="30" t="s">
        <v>20</v>
      </c>
    </row>
    <row r="193" spans="12:24" x14ac:dyDescent="0.25">
      <c r="L193" s="5">
        <v>9.9499999999999993</v>
      </c>
      <c r="P193" s="19">
        <v>10652</v>
      </c>
      <c r="Q193" s="20">
        <v>44912</v>
      </c>
      <c r="R193" s="21" t="s">
        <v>9</v>
      </c>
      <c r="S193" s="22">
        <v>3.49</v>
      </c>
      <c r="T193" s="23">
        <v>687.68</v>
      </c>
      <c r="U193" s="21" t="s">
        <v>10</v>
      </c>
      <c r="V193" s="21" t="s">
        <v>11</v>
      </c>
      <c r="W193" s="21" t="s">
        <v>19</v>
      </c>
      <c r="X193" s="24" t="s">
        <v>20</v>
      </c>
    </row>
    <row r="194" spans="12:24" x14ac:dyDescent="0.25">
      <c r="L194" s="5">
        <v>3.49</v>
      </c>
      <c r="P194" s="25">
        <v>10653</v>
      </c>
      <c r="Q194" s="26">
        <v>44912</v>
      </c>
      <c r="R194" s="27" t="s">
        <v>14</v>
      </c>
      <c r="S194" s="28">
        <v>2.95</v>
      </c>
      <c r="T194" s="29">
        <v>745.76</v>
      </c>
      <c r="U194" s="27" t="s">
        <v>10</v>
      </c>
      <c r="V194" s="27" t="s">
        <v>11</v>
      </c>
      <c r="W194" s="27" t="s">
        <v>19</v>
      </c>
      <c r="X194" s="30" t="s">
        <v>20</v>
      </c>
    </row>
    <row r="195" spans="12:24" x14ac:dyDescent="0.25">
      <c r="L195" s="5">
        <v>2.95</v>
      </c>
      <c r="P195" s="19">
        <v>10654</v>
      </c>
      <c r="Q195" s="20">
        <v>44912</v>
      </c>
      <c r="R195" s="21" t="s">
        <v>17</v>
      </c>
      <c r="S195" s="22">
        <v>4.99</v>
      </c>
      <c r="T195" s="23">
        <v>200.4</v>
      </c>
      <c r="U195" s="21" t="s">
        <v>10</v>
      </c>
      <c r="V195" s="21" t="s">
        <v>11</v>
      </c>
      <c r="W195" s="21" t="s">
        <v>19</v>
      </c>
      <c r="X195" s="24" t="s">
        <v>20</v>
      </c>
    </row>
    <row r="196" spans="12:24" x14ac:dyDescent="0.25">
      <c r="L196" s="5">
        <v>4.99</v>
      </c>
      <c r="P196" s="25">
        <v>10655</v>
      </c>
      <c r="Q196" s="26">
        <v>44913</v>
      </c>
      <c r="R196" s="27" t="s">
        <v>21</v>
      </c>
      <c r="S196" s="28">
        <v>12.99</v>
      </c>
      <c r="T196" s="29">
        <v>600.46</v>
      </c>
      <c r="U196" s="27" t="s">
        <v>10</v>
      </c>
      <c r="V196" s="27" t="s">
        <v>11</v>
      </c>
      <c r="W196" s="27" t="s">
        <v>19</v>
      </c>
      <c r="X196" s="30" t="s">
        <v>20</v>
      </c>
    </row>
    <row r="197" spans="12:24" x14ac:dyDescent="0.25">
      <c r="L197" s="5">
        <v>12.99</v>
      </c>
      <c r="P197" s="19">
        <v>10656</v>
      </c>
      <c r="Q197" s="20">
        <v>44913</v>
      </c>
      <c r="R197" s="21" t="s">
        <v>25</v>
      </c>
      <c r="S197" s="22">
        <v>9.9499999999999993</v>
      </c>
      <c r="T197" s="23">
        <v>221.11</v>
      </c>
      <c r="U197" s="21" t="s">
        <v>10</v>
      </c>
      <c r="V197" s="21" t="s">
        <v>11</v>
      </c>
      <c r="W197" s="21" t="s">
        <v>19</v>
      </c>
      <c r="X197" s="24" t="s">
        <v>20</v>
      </c>
    </row>
    <row r="198" spans="12:24" x14ac:dyDescent="0.25">
      <c r="L198" s="5">
        <v>9.9499999999999993</v>
      </c>
      <c r="P198" s="25">
        <v>10657</v>
      </c>
      <c r="Q198" s="26">
        <v>44913</v>
      </c>
      <c r="R198" s="27" t="s">
        <v>9</v>
      </c>
      <c r="S198" s="28">
        <v>3.49</v>
      </c>
      <c r="T198" s="29">
        <v>687.68</v>
      </c>
      <c r="U198" s="27" t="s">
        <v>10</v>
      </c>
      <c r="V198" s="27" t="s">
        <v>11</v>
      </c>
      <c r="W198" s="27" t="s">
        <v>19</v>
      </c>
      <c r="X198" s="30" t="s">
        <v>20</v>
      </c>
    </row>
    <row r="199" spans="12:24" x14ac:dyDescent="0.25">
      <c r="L199" s="5">
        <v>3.49</v>
      </c>
      <c r="P199" s="19">
        <v>10658</v>
      </c>
      <c r="Q199" s="20">
        <v>44913</v>
      </c>
      <c r="R199" s="21" t="s">
        <v>14</v>
      </c>
      <c r="S199" s="22">
        <v>2.95</v>
      </c>
      <c r="T199" s="23">
        <v>745.76</v>
      </c>
      <c r="U199" s="21" t="s">
        <v>10</v>
      </c>
      <c r="V199" s="21" t="s">
        <v>29</v>
      </c>
      <c r="W199" s="21" t="s">
        <v>19</v>
      </c>
      <c r="X199" s="24" t="s">
        <v>20</v>
      </c>
    </row>
    <row r="200" spans="12:24" x14ac:dyDescent="0.25">
      <c r="L200" s="5">
        <v>2.95</v>
      </c>
      <c r="P200" s="25">
        <v>10659</v>
      </c>
      <c r="Q200" s="26">
        <v>44913</v>
      </c>
      <c r="R200" s="27" t="s">
        <v>17</v>
      </c>
      <c r="S200" s="28">
        <v>4.99</v>
      </c>
      <c r="T200" s="29">
        <v>200.4</v>
      </c>
      <c r="U200" s="27" t="s">
        <v>10</v>
      </c>
      <c r="V200" s="27" t="s">
        <v>29</v>
      </c>
      <c r="W200" s="27" t="s">
        <v>19</v>
      </c>
      <c r="X200" s="30" t="s">
        <v>20</v>
      </c>
    </row>
    <row r="201" spans="12:24" x14ac:dyDescent="0.25">
      <c r="L201" s="5">
        <v>4.99</v>
      </c>
      <c r="P201" s="19">
        <v>10660</v>
      </c>
      <c r="Q201" s="20">
        <v>44914</v>
      </c>
      <c r="R201" s="21" t="s">
        <v>21</v>
      </c>
      <c r="S201" s="22">
        <v>12.99</v>
      </c>
      <c r="T201" s="23">
        <v>631.25</v>
      </c>
      <c r="U201" s="21" t="s">
        <v>18</v>
      </c>
      <c r="V201" s="21" t="s">
        <v>29</v>
      </c>
      <c r="W201" s="21" t="s">
        <v>19</v>
      </c>
      <c r="X201" s="24" t="s">
        <v>20</v>
      </c>
    </row>
    <row r="202" spans="12:24" x14ac:dyDescent="0.25">
      <c r="L202" s="5">
        <v>12.99</v>
      </c>
      <c r="P202" s="25">
        <v>10661</v>
      </c>
      <c r="Q202" s="26">
        <v>44914</v>
      </c>
      <c r="R202" s="27" t="s">
        <v>25</v>
      </c>
      <c r="S202" s="28">
        <v>9.9499999999999993</v>
      </c>
      <c r="T202" s="29">
        <v>221.11</v>
      </c>
      <c r="U202" s="27" t="s">
        <v>18</v>
      </c>
      <c r="V202" s="27" t="s">
        <v>29</v>
      </c>
      <c r="W202" s="27" t="s">
        <v>19</v>
      </c>
      <c r="X202" s="30" t="s">
        <v>20</v>
      </c>
    </row>
    <row r="203" spans="12:24" x14ac:dyDescent="0.25">
      <c r="L203" s="5">
        <v>9.9499999999999993</v>
      </c>
      <c r="P203" s="19">
        <v>10662</v>
      </c>
      <c r="Q203" s="20">
        <v>44914</v>
      </c>
      <c r="R203" s="21" t="s">
        <v>9</v>
      </c>
      <c r="S203" s="22">
        <v>3.49</v>
      </c>
      <c r="T203" s="23">
        <v>630.37</v>
      </c>
      <c r="U203" s="21" t="s">
        <v>18</v>
      </c>
      <c r="V203" s="21" t="s">
        <v>29</v>
      </c>
      <c r="W203" s="21" t="s">
        <v>19</v>
      </c>
      <c r="X203" s="24" t="s">
        <v>20</v>
      </c>
    </row>
    <row r="204" spans="12:24" x14ac:dyDescent="0.25">
      <c r="L204" s="5">
        <v>3.49</v>
      </c>
      <c r="P204" s="25">
        <v>10663</v>
      </c>
      <c r="Q204" s="26">
        <v>44914</v>
      </c>
      <c r="R204" s="27" t="s">
        <v>14</v>
      </c>
      <c r="S204" s="28">
        <v>2.95</v>
      </c>
      <c r="T204" s="29">
        <v>745.76</v>
      </c>
      <c r="U204" s="27" t="s">
        <v>18</v>
      </c>
      <c r="V204" s="27" t="s">
        <v>29</v>
      </c>
      <c r="W204" s="27" t="s">
        <v>19</v>
      </c>
      <c r="X204" s="30" t="s">
        <v>20</v>
      </c>
    </row>
    <row r="205" spans="12:24" x14ac:dyDescent="0.25">
      <c r="L205" s="5">
        <v>2.95</v>
      </c>
      <c r="P205" s="19">
        <v>10664</v>
      </c>
      <c r="Q205" s="20">
        <v>44914</v>
      </c>
      <c r="R205" s="21" t="s">
        <v>17</v>
      </c>
      <c r="S205" s="22">
        <v>4.99</v>
      </c>
      <c r="T205" s="23">
        <v>200.4</v>
      </c>
      <c r="U205" s="21" t="s">
        <v>18</v>
      </c>
      <c r="V205" s="21" t="s">
        <v>29</v>
      </c>
      <c r="W205" s="21" t="s">
        <v>19</v>
      </c>
      <c r="X205" s="24" t="s">
        <v>20</v>
      </c>
    </row>
    <row r="206" spans="12:24" x14ac:dyDescent="0.25">
      <c r="L206" s="5">
        <v>4.99</v>
      </c>
      <c r="P206" s="25">
        <v>10665</v>
      </c>
      <c r="Q206" s="26">
        <v>44915</v>
      </c>
      <c r="R206" s="27" t="s">
        <v>21</v>
      </c>
      <c r="S206" s="28">
        <v>12.99</v>
      </c>
      <c r="T206" s="29">
        <v>646.65</v>
      </c>
      <c r="U206" s="27" t="s">
        <v>18</v>
      </c>
      <c r="V206" s="27" t="s">
        <v>29</v>
      </c>
      <c r="W206" s="27" t="s">
        <v>19</v>
      </c>
      <c r="X206" s="30" t="s">
        <v>20</v>
      </c>
    </row>
    <row r="207" spans="12:24" x14ac:dyDescent="0.25">
      <c r="L207" s="5">
        <v>12.99</v>
      </c>
      <c r="P207" s="19">
        <v>10666</v>
      </c>
      <c r="Q207" s="20">
        <v>44915</v>
      </c>
      <c r="R207" s="21" t="s">
        <v>25</v>
      </c>
      <c r="S207" s="22">
        <v>9.9499999999999993</v>
      </c>
      <c r="T207" s="23">
        <v>221.11</v>
      </c>
      <c r="U207" s="21" t="s">
        <v>18</v>
      </c>
      <c r="V207" s="21" t="s">
        <v>29</v>
      </c>
      <c r="W207" s="21" t="s">
        <v>19</v>
      </c>
      <c r="X207" s="24" t="s">
        <v>20</v>
      </c>
    </row>
    <row r="208" spans="12:24" x14ac:dyDescent="0.25">
      <c r="L208" s="5">
        <v>9.9499999999999993</v>
      </c>
      <c r="P208" s="25">
        <v>10667</v>
      </c>
      <c r="Q208" s="26">
        <v>44915</v>
      </c>
      <c r="R208" s="27" t="s">
        <v>9</v>
      </c>
      <c r="S208" s="28">
        <v>3.49</v>
      </c>
      <c r="T208" s="29">
        <v>630.37</v>
      </c>
      <c r="U208" s="27" t="s">
        <v>18</v>
      </c>
      <c r="V208" s="27" t="s">
        <v>29</v>
      </c>
      <c r="W208" s="27" t="s">
        <v>19</v>
      </c>
      <c r="X208" s="30" t="s">
        <v>20</v>
      </c>
    </row>
    <row r="209" spans="12:24" x14ac:dyDescent="0.25">
      <c r="L209" s="5">
        <v>3.49</v>
      </c>
      <c r="P209" s="19">
        <v>10668</v>
      </c>
      <c r="Q209" s="20">
        <v>44915</v>
      </c>
      <c r="R209" s="21" t="s">
        <v>14</v>
      </c>
      <c r="S209" s="22">
        <v>2.95</v>
      </c>
      <c r="T209" s="23">
        <v>745.76</v>
      </c>
      <c r="U209" s="21" t="s">
        <v>18</v>
      </c>
      <c r="V209" s="21" t="s">
        <v>29</v>
      </c>
      <c r="W209" s="21" t="s">
        <v>19</v>
      </c>
      <c r="X209" s="24" t="s">
        <v>20</v>
      </c>
    </row>
    <row r="210" spans="12:24" x14ac:dyDescent="0.25">
      <c r="L210" s="5">
        <v>2.95</v>
      </c>
      <c r="P210" s="25">
        <v>10669</v>
      </c>
      <c r="Q210" s="26">
        <v>44915</v>
      </c>
      <c r="R210" s="27" t="s">
        <v>17</v>
      </c>
      <c r="S210" s="28">
        <v>4.99</v>
      </c>
      <c r="T210" s="29">
        <v>200.4</v>
      </c>
      <c r="U210" s="27" t="s">
        <v>18</v>
      </c>
      <c r="V210" s="27" t="s">
        <v>29</v>
      </c>
      <c r="W210" s="27" t="s">
        <v>19</v>
      </c>
      <c r="X210" s="30" t="s">
        <v>20</v>
      </c>
    </row>
    <row r="211" spans="12:24" x14ac:dyDescent="0.25">
      <c r="L211" s="5">
        <v>4.99</v>
      </c>
      <c r="P211" s="19">
        <v>10670</v>
      </c>
      <c r="Q211" s="20">
        <v>44916</v>
      </c>
      <c r="R211" s="21" t="s">
        <v>21</v>
      </c>
      <c r="S211" s="22">
        <v>12.99</v>
      </c>
      <c r="T211" s="23">
        <v>677.44</v>
      </c>
      <c r="U211" s="21" t="s">
        <v>18</v>
      </c>
      <c r="V211" s="21" t="s">
        <v>29</v>
      </c>
      <c r="W211" s="21" t="s">
        <v>19</v>
      </c>
      <c r="X211" s="24" t="s">
        <v>20</v>
      </c>
    </row>
    <row r="212" spans="12:24" x14ac:dyDescent="0.25">
      <c r="L212" s="5">
        <v>12.99</v>
      </c>
      <c r="P212" s="25">
        <v>10671</v>
      </c>
      <c r="Q212" s="26">
        <v>44916</v>
      </c>
      <c r="R212" s="27" t="s">
        <v>25</v>
      </c>
      <c r="S212" s="28">
        <v>9.9499999999999993</v>
      </c>
      <c r="T212" s="29">
        <v>221.11</v>
      </c>
      <c r="U212" s="27" t="s">
        <v>18</v>
      </c>
      <c r="V212" s="27" t="s">
        <v>29</v>
      </c>
      <c r="W212" s="27" t="s">
        <v>19</v>
      </c>
      <c r="X212" s="30" t="s">
        <v>20</v>
      </c>
    </row>
    <row r="213" spans="12:24" x14ac:dyDescent="0.25">
      <c r="L213" s="5">
        <v>9.9499999999999993</v>
      </c>
      <c r="P213" s="19">
        <v>10672</v>
      </c>
      <c r="Q213" s="20">
        <v>44916</v>
      </c>
      <c r="R213" s="21" t="s">
        <v>9</v>
      </c>
      <c r="S213" s="22">
        <v>3.49</v>
      </c>
      <c r="T213" s="23">
        <v>630.37</v>
      </c>
      <c r="U213" s="21" t="s">
        <v>18</v>
      </c>
      <c r="V213" s="21" t="s">
        <v>29</v>
      </c>
      <c r="W213" s="21" t="s">
        <v>19</v>
      </c>
      <c r="X213" s="24" t="s">
        <v>20</v>
      </c>
    </row>
    <row r="214" spans="12:24" x14ac:dyDescent="0.25">
      <c r="L214" s="5">
        <v>3.49</v>
      </c>
      <c r="P214" s="25">
        <v>10673</v>
      </c>
      <c r="Q214" s="26">
        <v>44916</v>
      </c>
      <c r="R214" s="27" t="s">
        <v>14</v>
      </c>
      <c r="S214" s="28">
        <v>2.95</v>
      </c>
      <c r="T214" s="29">
        <v>745.76</v>
      </c>
      <c r="U214" s="27" t="s">
        <v>18</v>
      </c>
      <c r="V214" s="27" t="s">
        <v>29</v>
      </c>
      <c r="W214" s="27" t="s">
        <v>19</v>
      </c>
      <c r="X214" s="30" t="s">
        <v>20</v>
      </c>
    </row>
    <row r="215" spans="12:24" x14ac:dyDescent="0.25">
      <c r="L215" s="5">
        <v>2.95</v>
      </c>
      <c r="P215" s="19">
        <v>10674</v>
      </c>
      <c r="Q215" s="20">
        <v>44916</v>
      </c>
      <c r="R215" s="21" t="s">
        <v>17</v>
      </c>
      <c r="S215" s="22">
        <v>4.99</v>
      </c>
      <c r="T215" s="23">
        <v>200.4</v>
      </c>
      <c r="U215" s="21" t="s">
        <v>18</v>
      </c>
      <c r="V215" s="21" t="s">
        <v>29</v>
      </c>
      <c r="W215" s="21" t="s">
        <v>19</v>
      </c>
      <c r="X215" s="24" t="s">
        <v>20</v>
      </c>
    </row>
    <row r="216" spans="12:24" x14ac:dyDescent="0.25">
      <c r="L216" s="5">
        <v>4.99</v>
      </c>
      <c r="P216" s="25">
        <v>10675</v>
      </c>
      <c r="Q216" s="26">
        <v>44917</v>
      </c>
      <c r="R216" s="27" t="s">
        <v>21</v>
      </c>
      <c r="S216" s="28">
        <v>12.99</v>
      </c>
      <c r="T216" s="29">
        <v>677.44</v>
      </c>
      <c r="U216" s="27" t="s">
        <v>18</v>
      </c>
      <c r="V216" s="27" t="s">
        <v>29</v>
      </c>
      <c r="W216" s="27" t="s">
        <v>19</v>
      </c>
      <c r="X216" s="30" t="s">
        <v>20</v>
      </c>
    </row>
    <row r="217" spans="12:24" x14ac:dyDescent="0.25">
      <c r="L217" s="5">
        <v>12.99</v>
      </c>
      <c r="P217" s="19">
        <v>10676</v>
      </c>
      <c r="Q217" s="20">
        <v>44917</v>
      </c>
      <c r="R217" s="21" t="s">
        <v>25</v>
      </c>
      <c r="S217" s="22">
        <v>9.9499999999999993</v>
      </c>
      <c r="T217" s="23">
        <v>241.21</v>
      </c>
      <c r="U217" s="21" t="s">
        <v>18</v>
      </c>
      <c r="V217" s="21" t="s">
        <v>29</v>
      </c>
      <c r="W217" s="21" t="s">
        <v>19</v>
      </c>
      <c r="X217" s="24" t="s">
        <v>20</v>
      </c>
    </row>
    <row r="218" spans="12:24" x14ac:dyDescent="0.25">
      <c r="L218" s="5">
        <v>9.9499999999999993</v>
      </c>
      <c r="P218" s="25">
        <v>10677</v>
      </c>
      <c r="Q218" s="26">
        <v>44917</v>
      </c>
      <c r="R218" s="27" t="s">
        <v>9</v>
      </c>
      <c r="S218" s="28">
        <v>3.49</v>
      </c>
      <c r="T218" s="29">
        <v>630.37</v>
      </c>
      <c r="U218" s="27" t="s">
        <v>18</v>
      </c>
      <c r="V218" s="27" t="s">
        <v>29</v>
      </c>
      <c r="W218" s="27" t="s">
        <v>19</v>
      </c>
      <c r="X218" s="30" t="s">
        <v>20</v>
      </c>
    </row>
    <row r="219" spans="12:24" x14ac:dyDescent="0.25">
      <c r="L219" s="5">
        <v>3.49</v>
      </c>
      <c r="P219" s="19">
        <v>10678</v>
      </c>
      <c r="Q219" s="20">
        <v>44917</v>
      </c>
      <c r="R219" s="21" t="s">
        <v>14</v>
      </c>
      <c r="S219" s="22">
        <v>2.95</v>
      </c>
      <c r="T219" s="23">
        <v>745.76</v>
      </c>
      <c r="U219" s="21" t="s">
        <v>18</v>
      </c>
      <c r="V219" s="21" t="s">
        <v>29</v>
      </c>
      <c r="W219" s="21" t="s">
        <v>19</v>
      </c>
      <c r="X219" s="24" t="s">
        <v>20</v>
      </c>
    </row>
    <row r="220" spans="12:24" x14ac:dyDescent="0.25">
      <c r="L220" s="5">
        <v>2.95</v>
      </c>
      <c r="P220" s="25">
        <v>10679</v>
      </c>
      <c r="Q220" s="26">
        <v>44917</v>
      </c>
      <c r="R220" s="27" t="s">
        <v>17</v>
      </c>
      <c r="S220" s="28">
        <v>4.99</v>
      </c>
      <c r="T220" s="29">
        <v>200.4</v>
      </c>
      <c r="U220" s="27" t="s">
        <v>18</v>
      </c>
      <c r="V220" s="27" t="s">
        <v>29</v>
      </c>
      <c r="W220" s="27" t="s">
        <v>19</v>
      </c>
      <c r="X220" s="30" t="s">
        <v>20</v>
      </c>
    </row>
    <row r="221" spans="12:24" x14ac:dyDescent="0.25">
      <c r="L221" s="5">
        <v>4.99</v>
      </c>
      <c r="P221" s="19">
        <v>10680</v>
      </c>
      <c r="Q221" s="20">
        <v>44918</v>
      </c>
      <c r="R221" s="21" t="s">
        <v>21</v>
      </c>
      <c r="S221" s="22">
        <v>12.99</v>
      </c>
      <c r="T221" s="23">
        <v>646.65</v>
      </c>
      <c r="U221" s="21" t="s">
        <v>18</v>
      </c>
      <c r="V221" s="21" t="s">
        <v>29</v>
      </c>
      <c r="W221" s="21" t="s">
        <v>19</v>
      </c>
      <c r="X221" s="24" t="s">
        <v>20</v>
      </c>
    </row>
    <row r="222" spans="12:24" x14ac:dyDescent="0.25">
      <c r="L222" s="5">
        <v>12.99</v>
      </c>
      <c r="P222" s="25">
        <v>10681</v>
      </c>
      <c r="Q222" s="26">
        <v>44918</v>
      </c>
      <c r="R222" s="27" t="s">
        <v>25</v>
      </c>
      <c r="S222" s="28">
        <v>9.9499999999999993</v>
      </c>
      <c r="T222" s="29">
        <v>241.21</v>
      </c>
      <c r="U222" s="27" t="s">
        <v>18</v>
      </c>
      <c r="V222" s="27" t="s">
        <v>29</v>
      </c>
      <c r="W222" s="27" t="s">
        <v>19</v>
      </c>
      <c r="X222" s="30" t="s">
        <v>20</v>
      </c>
    </row>
    <row r="223" spans="12:24" x14ac:dyDescent="0.25">
      <c r="L223" s="5">
        <v>9.9499999999999993</v>
      </c>
      <c r="P223" s="19">
        <v>10682</v>
      </c>
      <c r="Q223" s="20">
        <v>44918</v>
      </c>
      <c r="R223" s="21" t="s">
        <v>9</v>
      </c>
      <c r="S223" s="22">
        <v>3.49</v>
      </c>
      <c r="T223" s="23">
        <v>630.37</v>
      </c>
      <c r="U223" s="21" t="s">
        <v>18</v>
      </c>
      <c r="V223" s="21" t="s">
        <v>29</v>
      </c>
      <c r="W223" s="21" t="s">
        <v>19</v>
      </c>
      <c r="X223" s="24" t="s">
        <v>20</v>
      </c>
    </row>
    <row r="224" spans="12:24" x14ac:dyDescent="0.25">
      <c r="L224" s="5">
        <v>3.49</v>
      </c>
      <c r="P224" s="25">
        <v>10683</v>
      </c>
      <c r="Q224" s="26">
        <v>44918</v>
      </c>
      <c r="R224" s="27" t="s">
        <v>14</v>
      </c>
      <c r="S224" s="28">
        <v>2.95</v>
      </c>
      <c r="T224" s="29">
        <v>677.97</v>
      </c>
      <c r="U224" s="27" t="s">
        <v>18</v>
      </c>
      <c r="V224" s="27" t="s">
        <v>29</v>
      </c>
      <c r="W224" s="27" t="s">
        <v>19</v>
      </c>
      <c r="X224" s="30" t="s">
        <v>20</v>
      </c>
    </row>
    <row r="225" spans="12:24" x14ac:dyDescent="0.25">
      <c r="L225" s="5">
        <v>2.95</v>
      </c>
      <c r="P225" s="19">
        <v>10684</v>
      </c>
      <c r="Q225" s="20">
        <v>44918</v>
      </c>
      <c r="R225" s="21" t="s">
        <v>17</v>
      </c>
      <c r="S225" s="22">
        <v>4.99</v>
      </c>
      <c r="T225" s="23">
        <v>200.4</v>
      </c>
      <c r="U225" s="21" t="s">
        <v>18</v>
      </c>
      <c r="V225" s="21" t="s">
        <v>29</v>
      </c>
      <c r="W225" s="21" t="s">
        <v>19</v>
      </c>
      <c r="X225" s="24" t="s">
        <v>20</v>
      </c>
    </row>
    <row r="226" spans="12:24" x14ac:dyDescent="0.25">
      <c r="L226" s="5">
        <v>4.99</v>
      </c>
      <c r="P226" s="25">
        <v>10685</v>
      </c>
      <c r="Q226" s="26">
        <v>44919</v>
      </c>
      <c r="R226" s="27" t="s">
        <v>21</v>
      </c>
      <c r="S226" s="28">
        <v>12.99</v>
      </c>
      <c r="T226" s="29">
        <v>677.44</v>
      </c>
      <c r="U226" s="27" t="s">
        <v>18</v>
      </c>
      <c r="V226" s="27" t="s">
        <v>29</v>
      </c>
      <c r="W226" s="27" t="s">
        <v>19</v>
      </c>
      <c r="X226" s="30" t="s">
        <v>20</v>
      </c>
    </row>
    <row r="227" spans="12:24" x14ac:dyDescent="0.25">
      <c r="L227" s="5">
        <v>12.99</v>
      </c>
      <c r="P227" s="19">
        <v>10686</v>
      </c>
      <c r="Q227" s="20">
        <v>44919</v>
      </c>
      <c r="R227" s="21" t="s">
        <v>25</v>
      </c>
      <c r="S227" s="22">
        <v>9.9499999999999993</v>
      </c>
      <c r="T227" s="23">
        <v>241.21</v>
      </c>
      <c r="U227" s="21" t="s">
        <v>18</v>
      </c>
      <c r="V227" s="21" t="s">
        <v>29</v>
      </c>
      <c r="W227" s="21" t="s">
        <v>19</v>
      </c>
      <c r="X227" s="24" t="s">
        <v>20</v>
      </c>
    </row>
    <row r="228" spans="12:24" x14ac:dyDescent="0.25">
      <c r="L228" s="5">
        <v>9.9499999999999993</v>
      </c>
      <c r="P228" s="25">
        <v>10687</v>
      </c>
      <c r="Q228" s="26">
        <v>44919</v>
      </c>
      <c r="R228" s="27" t="s">
        <v>9</v>
      </c>
      <c r="S228" s="28">
        <v>3.49</v>
      </c>
      <c r="T228" s="29">
        <v>630.37</v>
      </c>
      <c r="U228" s="27" t="s">
        <v>18</v>
      </c>
      <c r="V228" s="27" t="s">
        <v>29</v>
      </c>
      <c r="W228" s="27" t="s">
        <v>23</v>
      </c>
      <c r="X228" s="30" t="s">
        <v>24</v>
      </c>
    </row>
    <row r="229" spans="12:24" x14ac:dyDescent="0.25">
      <c r="L229" s="5">
        <v>3.49</v>
      </c>
      <c r="P229" s="19">
        <v>10688</v>
      </c>
      <c r="Q229" s="20">
        <v>44919</v>
      </c>
      <c r="R229" s="21" t="s">
        <v>14</v>
      </c>
      <c r="S229" s="22">
        <v>2.95</v>
      </c>
      <c r="T229" s="23">
        <v>677.97</v>
      </c>
      <c r="U229" s="21" t="s">
        <v>18</v>
      </c>
      <c r="V229" s="21" t="s">
        <v>29</v>
      </c>
      <c r="W229" s="21" t="s">
        <v>23</v>
      </c>
      <c r="X229" s="24" t="s">
        <v>24</v>
      </c>
    </row>
    <row r="230" spans="12:24" x14ac:dyDescent="0.25">
      <c r="L230" s="5">
        <v>2.95</v>
      </c>
      <c r="P230" s="25">
        <v>10689</v>
      </c>
      <c r="Q230" s="26">
        <v>44919</v>
      </c>
      <c r="R230" s="27" t="s">
        <v>17</v>
      </c>
      <c r="S230" s="28">
        <v>4.99</v>
      </c>
      <c r="T230" s="29">
        <v>200.4</v>
      </c>
      <c r="U230" s="27" t="s">
        <v>18</v>
      </c>
      <c r="V230" s="27" t="s">
        <v>29</v>
      </c>
      <c r="W230" s="27" t="s">
        <v>23</v>
      </c>
      <c r="X230" s="30" t="s">
        <v>24</v>
      </c>
    </row>
    <row r="231" spans="12:24" x14ac:dyDescent="0.25">
      <c r="L231" s="5">
        <v>4.99</v>
      </c>
      <c r="P231" s="19">
        <v>10690</v>
      </c>
      <c r="Q231" s="20">
        <v>44920</v>
      </c>
      <c r="R231" s="21" t="s">
        <v>21</v>
      </c>
      <c r="S231" s="22">
        <v>12.99</v>
      </c>
      <c r="T231" s="23">
        <v>677.44</v>
      </c>
      <c r="U231" s="21" t="s">
        <v>18</v>
      </c>
      <c r="V231" s="21" t="s">
        <v>29</v>
      </c>
      <c r="W231" s="21" t="s">
        <v>23</v>
      </c>
      <c r="X231" s="24" t="s">
        <v>24</v>
      </c>
    </row>
    <row r="232" spans="12:24" x14ac:dyDescent="0.25">
      <c r="L232" s="5">
        <v>12.99</v>
      </c>
      <c r="P232" s="25">
        <v>10691</v>
      </c>
      <c r="Q232" s="26">
        <v>44920</v>
      </c>
      <c r="R232" s="27" t="s">
        <v>25</v>
      </c>
      <c r="S232" s="28">
        <v>9.9499999999999993</v>
      </c>
      <c r="T232" s="29">
        <v>261.31</v>
      </c>
      <c r="U232" s="27" t="s">
        <v>18</v>
      </c>
      <c r="V232" s="27" t="s">
        <v>29</v>
      </c>
      <c r="W232" s="27" t="s">
        <v>23</v>
      </c>
      <c r="X232" s="30" t="s">
        <v>24</v>
      </c>
    </row>
    <row r="233" spans="12:24" x14ac:dyDescent="0.25">
      <c r="L233" s="5">
        <v>9.9499999999999993</v>
      </c>
      <c r="P233" s="19">
        <v>10692</v>
      </c>
      <c r="Q233" s="20">
        <v>44920</v>
      </c>
      <c r="R233" s="21" t="s">
        <v>9</v>
      </c>
      <c r="S233" s="22">
        <v>3.49</v>
      </c>
      <c r="T233" s="23">
        <v>630.37</v>
      </c>
      <c r="U233" s="21" t="s">
        <v>18</v>
      </c>
      <c r="V233" s="21" t="s">
        <v>29</v>
      </c>
      <c r="W233" s="21" t="s">
        <v>23</v>
      </c>
      <c r="X233" s="24" t="s">
        <v>24</v>
      </c>
    </row>
    <row r="234" spans="12:24" x14ac:dyDescent="0.25">
      <c r="L234" s="5">
        <v>3.49</v>
      </c>
      <c r="P234" s="25">
        <v>10693</v>
      </c>
      <c r="Q234" s="26">
        <v>44920</v>
      </c>
      <c r="R234" s="27" t="s">
        <v>14</v>
      </c>
      <c r="S234" s="28">
        <v>2.95</v>
      </c>
      <c r="T234" s="29">
        <v>677.97</v>
      </c>
      <c r="U234" s="27" t="s">
        <v>18</v>
      </c>
      <c r="V234" s="27" t="s">
        <v>29</v>
      </c>
      <c r="W234" s="27" t="s">
        <v>23</v>
      </c>
      <c r="X234" s="30" t="s">
        <v>24</v>
      </c>
    </row>
    <row r="235" spans="12:24" x14ac:dyDescent="0.25">
      <c r="L235" s="5">
        <v>2.95</v>
      </c>
      <c r="P235" s="19">
        <v>10694</v>
      </c>
      <c r="Q235" s="20">
        <v>44920</v>
      </c>
      <c r="R235" s="21" t="s">
        <v>17</v>
      </c>
      <c r="S235" s="22">
        <v>4.99</v>
      </c>
      <c r="T235" s="23">
        <v>200.4</v>
      </c>
      <c r="U235" s="21" t="s">
        <v>18</v>
      </c>
      <c r="V235" s="21" t="s">
        <v>29</v>
      </c>
      <c r="W235" s="21" t="s">
        <v>23</v>
      </c>
      <c r="X235" s="24" t="s">
        <v>24</v>
      </c>
    </row>
    <row r="236" spans="12:24" x14ac:dyDescent="0.25">
      <c r="L236" s="5">
        <v>4.99</v>
      </c>
      <c r="P236" s="25">
        <v>10695</v>
      </c>
      <c r="Q236" s="26">
        <v>44921</v>
      </c>
      <c r="R236" s="27" t="s">
        <v>21</v>
      </c>
      <c r="S236" s="28">
        <v>12.99</v>
      </c>
      <c r="T236" s="29">
        <v>692.84</v>
      </c>
      <c r="U236" s="27" t="s">
        <v>18</v>
      </c>
      <c r="V236" s="27" t="s">
        <v>29</v>
      </c>
      <c r="W236" s="27" t="s">
        <v>23</v>
      </c>
      <c r="X236" s="30" t="s">
        <v>24</v>
      </c>
    </row>
    <row r="237" spans="12:24" x14ac:dyDescent="0.25">
      <c r="L237" s="5">
        <v>12.99</v>
      </c>
      <c r="P237" s="19">
        <v>10696</v>
      </c>
      <c r="Q237" s="20">
        <v>44921</v>
      </c>
      <c r="R237" s="21" t="s">
        <v>25</v>
      </c>
      <c r="S237" s="22">
        <v>9.9499999999999993</v>
      </c>
      <c r="T237" s="23">
        <v>281.41000000000003</v>
      </c>
      <c r="U237" s="21" t="s">
        <v>18</v>
      </c>
      <c r="V237" s="21" t="s">
        <v>29</v>
      </c>
      <c r="W237" s="21" t="s">
        <v>23</v>
      </c>
      <c r="X237" s="24" t="s">
        <v>24</v>
      </c>
    </row>
    <row r="238" spans="12:24" x14ac:dyDescent="0.25">
      <c r="L238" s="5">
        <v>9.9499999999999993</v>
      </c>
      <c r="P238" s="25">
        <v>10697</v>
      </c>
      <c r="Q238" s="26">
        <v>44921</v>
      </c>
      <c r="R238" s="27" t="s">
        <v>9</v>
      </c>
      <c r="S238" s="28">
        <v>3.49</v>
      </c>
      <c r="T238" s="29">
        <v>630.37</v>
      </c>
      <c r="U238" s="27" t="s">
        <v>18</v>
      </c>
      <c r="V238" s="27" t="s">
        <v>29</v>
      </c>
      <c r="W238" s="27" t="s">
        <v>23</v>
      </c>
      <c r="X238" s="30" t="s">
        <v>24</v>
      </c>
    </row>
    <row r="239" spans="12:24" x14ac:dyDescent="0.25">
      <c r="L239" s="5">
        <v>3.49</v>
      </c>
      <c r="P239" s="19">
        <v>10698</v>
      </c>
      <c r="Q239" s="20">
        <v>44921</v>
      </c>
      <c r="R239" s="21" t="s">
        <v>14</v>
      </c>
      <c r="S239" s="22">
        <v>2.95</v>
      </c>
      <c r="T239" s="23">
        <v>677.97</v>
      </c>
      <c r="U239" s="21" t="s">
        <v>18</v>
      </c>
      <c r="V239" s="21" t="s">
        <v>29</v>
      </c>
      <c r="W239" s="21" t="s">
        <v>23</v>
      </c>
      <c r="X239" s="24" t="s">
        <v>24</v>
      </c>
    </row>
    <row r="240" spans="12:24" x14ac:dyDescent="0.25">
      <c r="L240" s="5">
        <v>2.95</v>
      </c>
      <c r="P240" s="25">
        <v>10699</v>
      </c>
      <c r="Q240" s="26">
        <v>44921</v>
      </c>
      <c r="R240" s="27" t="s">
        <v>17</v>
      </c>
      <c r="S240" s="28">
        <v>4.99</v>
      </c>
      <c r="T240" s="29">
        <v>200.4</v>
      </c>
      <c r="U240" s="27" t="s">
        <v>18</v>
      </c>
      <c r="V240" s="27" t="s">
        <v>29</v>
      </c>
      <c r="W240" s="27" t="s">
        <v>23</v>
      </c>
      <c r="X240" s="30" t="s">
        <v>24</v>
      </c>
    </row>
    <row r="241" spans="12:24" x14ac:dyDescent="0.25">
      <c r="L241" s="5">
        <v>4.99</v>
      </c>
      <c r="P241" s="19">
        <v>10700</v>
      </c>
      <c r="Q241" s="20">
        <v>44922</v>
      </c>
      <c r="R241" s="21" t="s">
        <v>21</v>
      </c>
      <c r="S241" s="22">
        <v>12.99</v>
      </c>
      <c r="T241" s="23">
        <v>692.84</v>
      </c>
      <c r="U241" s="21" t="s">
        <v>18</v>
      </c>
      <c r="V241" s="21" t="s">
        <v>29</v>
      </c>
      <c r="W241" s="21" t="s">
        <v>23</v>
      </c>
      <c r="X241" s="24" t="s">
        <v>24</v>
      </c>
    </row>
    <row r="242" spans="12:24" x14ac:dyDescent="0.25">
      <c r="L242" s="5">
        <v>12.99</v>
      </c>
      <c r="P242" s="25">
        <v>10701</v>
      </c>
      <c r="Q242" s="26">
        <v>44922</v>
      </c>
      <c r="R242" s="27" t="s">
        <v>25</v>
      </c>
      <c r="S242" s="28">
        <v>9.9499999999999993</v>
      </c>
      <c r="T242" s="29">
        <v>281.41000000000003</v>
      </c>
      <c r="U242" s="27" t="s">
        <v>18</v>
      </c>
      <c r="V242" s="27" t="s">
        <v>29</v>
      </c>
      <c r="W242" s="27" t="s">
        <v>23</v>
      </c>
      <c r="X242" s="30" t="s">
        <v>24</v>
      </c>
    </row>
    <row r="243" spans="12:24" x14ac:dyDescent="0.25">
      <c r="L243" s="5">
        <v>9.9499999999999993</v>
      </c>
      <c r="P243" s="19">
        <v>10702</v>
      </c>
      <c r="Q243" s="20">
        <v>44922</v>
      </c>
      <c r="R243" s="21" t="s">
        <v>9</v>
      </c>
      <c r="S243" s="22">
        <v>3.49</v>
      </c>
      <c r="T243" s="23">
        <v>630.37</v>
      </c>
      <c r="U243" s="21" t="s">
        <v>18</v>
      </c>
      <c r="V243" s="21" t="s">
        <v>29</v>
      </c>
      <c r="W243" s="21" t="s">
        <v>23</v>
      </c>
      <c r="X243" s="24" t="s">
        <v>24</v>
      </c>
    </row>
    <row r="244" spans="12:24" x14ac:dyDescent="0.25">
      <c r="L244" s="5">
        <v>3.49</v>
      </c>
      <c r="P244" s="25">
        <v>10703</v>
      </c>
      <c r="Q244" s="26">
        <v>44922</v>
      </c>
      <c r="R244" s="27" t="s">
        <v>14</v>
      </c>
      <c r="S244" s="28">
        <v>2.95</v>
      </c>
      <c r="T244" s="29">
        <v>677.97</v>
      </c>
      <c r="U244" s="27" t="s">
        <v>18</v>
      </c>
      <c r="V244" s="27" t="s">
        <v>11</v>
      </c>
      <c r="W244" s="27" t="s">
        <v>23</v>
      </c>
      <c r="X244" s="30" t="s">
        <v>24</v>
      </c>
    </row>
    <row r="245" spans="12:24" x14ac:dyDescent="0.25">
      <c r="L245" s="5">
        <v>2.95</v>
      </c>
      <c r="P245" s="19">
        <v>10704</v>
      </c>
      <c r="Q245" s="20">
        <v>44922</v>
      </c>
      <c r="R245" s="21" t="s">
        <v>17</v>
      </c>
      <c r="S245" s="22">
        <v>4.99</v>
      </c>
      <c r="T245" s="23">
        <v>200.4</v>
      </c>
      <c r="U245" s="21" t="s">
        <v>28</v>
      </c>
      <c r="V245" s="21" t="s">
        <v>11</v>
      </c>
      <c r="W245" s="21" t="s">
        <v>23</v>
      </c>
      <c r="X245" s="24" t="s">
        <v>24</v>
      </c>
    </row>
    <row r="246" spans="12:24" x14ac:dyDescent="0.25">
      <c r="L246" s="5">
        <v>4.99</v>
      </c>
      <c r="P246" s="25">
        <v>10705</v>
      </c>
      <c r="Q246" s="26">
        <v>44923</v>
      </c>
      <c r="R246" s="27" t="s">
        <v>21</v>
      </c>
      <c r="S246" s="28">
        <v>12.99</v>
      </c>
      <c r="T246" s="29">
        <v>723.63</v>
      </c>
      <c r="U246" s="27" t="s">
        <v>28</v>
      </c>
      <c r="V246" s="27" t="s">
        <v>11</v>
      </c>
      <c r="W246" s="27" t="s">
        <v>23</v>
      </c>
      <c r="X246" s="30" t="s">
        <v>24</v>
      </c>
    </row>
    <row r="247" spans="12:24" x14ac:dyDescent="0.25">
      <c r="L247" s="5">
        <v>12.99</v>
      </c>
      <c r="P247" s="19">
        <v>10706</v>
      </c>
      <c r="Q247" s="20">
        <v>44923</v>
      </c>
      <c r="R247" s="21" t="s">
        <v>25</v>
      </c>
      <c r="S247" s="22">
        <v>9.9499999999999993</v>
      </c>
      <c r="T247" s="23">
        <v>301.51</v>
      </c>
      <c r="U247" s="21" t="s">
        <v>28</v>
      </c>
      <c r="V247" s="21" t="s">
        <v>11</v>
      </c>
      <c r="W247" s="21" t="s">
        <v>23</v>
      </c>
      <c r="X247" s="24" t="s">
        <v>24</v>
      </c>
    </row>
    <row r="248" spans="12:24" x14ac:dyDescent="0.25">
      <c r="L248" s="5">
        <v>9.9499999999999993</v>
      </c>
      <c r="P248" s="25">
        <v>10707</v>
      </c>
      <c r="Q248" s="26">
        <v>44923</v>
      </c>
      <c r="R248" s="27" t="s">
        <v>9</v>
      </c>
      <c r="S248" s="28">
        <v>3.49</v>
      </c>
      <c r="T248" s="29">
        <v>630.37</v>
      </c>
      <c r="U248" s="27" t="s">
        <v>28</v>
      </c>
      <c r="V248" s="27" t="s">
        <v>11</v>
      </c>
      <c r="W248" s="27" t="s">
        <v>23</v>
      </c>
      <c r="X248" s="30" t="s">
        <v>24</v>
      </c>
    </row>
    <row r="249" spans="12:24" x14ac:dyDescent="0.25">
      <c r="L249" s="5">
        <v>3.49</v>
      </c>
      <c r="P249" s="19">
        <v>10708</v>
      </c>
      <c r="Q249" s="20">
        <v>44923</v>
      </c>
      <c r="R249" s="21" t="s">
        <v>14</v>
      </c>
      <c r="S249" s="22">
        <v>2.95</v>
      </c>
      <c r="T249" s="23">
        <v>677.97</v>
      </c>
      <c r="U249" s="21" t="s">
        <v>28</v>
      </c>
      <c r="V249" s="21" t="s">
        <v>11</v>
      </c>
      <c r="W249" s="21" t="s">
        <v>23</v>
      </c>
      <c r="X249" s="24" t="s">
        <v>24</v>
      </c>
    </row>
    <row r="250" spans="12:24" x14ac:dyDescent="0.25">
      <c r="L250" s="5">
        <v>2.95</v>
      </c>
      <c r="P250" s="25">
        <v>10709</v>
      </c>
      <c r="Q250" s="26">
        <v>44923</v>
      </c>
      <c r="R250" s="27" t="s">
        <v>17</v>
      </c>
      <c r="S250" s="28">
        <v>4.99</v>
      </c>
      <c r="T250" s="29">
        <v>200.4</v>
      </c>
      <c r="U250" s="27" t="s">
        <v>28</v>
      </c>
      <c r="V250" s="27" t="s">
        <v>11</v>
      </c>
      <c r="W250" s="27" t="s">
        <v>23</v>
      </c>
      <c r="X250" s="30" t="s">
        <v>24</v>
      </c>
    </row>
    <row r="251" spans="12:24" x14ac:dyDescent="0.25">
      <c r="L251" s="5">
        <v>4.99</v>
      </c>
      <c r="P251" s="19">
        <v>10710</v>
      </c>
      <c r="Q251" s="20">
        <v>44924</v>
      </c>
      <c r="R251" s="21" t="s">
        <v>21</v>
      </c>
      <c r="S251" s="22">
        <v>12.99</v>
      </c>
      <c r="T251" s="23">
        <v>754.43</v>
      </c>
      <c r="U251" s="21" t="s">
        <v>28</v>
      </c>
      <c r="V251" s="21" t="s">
        <v>11</v>
      </c>
      <c r="W251" s="21" t="s">
        <v>23</v>
      </c>
      <c r="X251" s="24" t="s">
        <v>24</v>
      </c>
    </row>
    <row r="252" spans="12:24" x14ac:dyDescent="0.25">
      <c r="L252" s="5">
        <v>12.99</v>
      </c>
      <c r="P252" s="25">
        <v>10711</v>
      </c>
      <c r="Q252" s="26">
        <v>44924</v>
      </c>
      <c r="R252" s="27" t="s">
        <v>25</v>
      </c>
      <c r="S252" s="28">
        <v>9.9499999999999993</v>
      </c>
      <c r="T252" s="29">
        <v>281.41000000000003</v>
      </c>
      <c r="U252" s="27" t="s">
        <v>28</v>
      </c>
      <c r="V252" s="27" t="s">
        <v>11</v>
      </c>
      <c r="W252" s="27" t="s">
        <v>23</v>
      </c>
      <c r="X252" s="30" t="s">
        <v>24</v>
      </c>
    </row>
    <row r="253" spans="12:24" x14ac:dyDescent="0.25">
      <c r="L253" s="5">
        <v>9.9499999999999993</v>
      </c>
      <c r="P253" s="19">
        <v>10712</v>
      </c>
      <c r="Q253" s="20">
        <v>44924</v>
      </c>
      <c r="R253" s="21" t="s">
        <v>9</v>
      </c>
      <c r="S253" s="22">
        <v>3.49</v>
      </c>
      <c r="T253" s="23">
        <v>630.37</v>
      </c>
      <c r="U253" s="21" t="s">
        <v>28</v>
      </c>
      <c r="V253" s="21" t="s">
        <v>11</v>
      </c>
      <c r="W253" s="21" t="s">
        <v>23</v>
      </c>
      <c r="X253" s="24" t="s">
        <v>24</v>
      </c>
    </row>
    <row r="254" spans="12:24" x14ac:dyDescent="0.25">
      <c r="L254" s="5">
        <v>3.49</v>
      </c>
      <c r="P254" s="25">
        <v>10713</v>
      </c>
      <c r="Q254" s="26">
        <v>44924</v>
      </c>
      <c r="R254" s="27" t="s">
        <v>14</v>
      </c>
      <c r="S254" s="28">
        <v>2.95</v>
      </c>
      <c r="T254" s="29">
        <v>677.97</v>
      </c>
      <c r="U254" s="27" t="s">
        <v>28</v>
      </c>
      <c r="V254" s="27" t="s">
        <v>11</v>
      </c>
      <c r="W254" s="27" t="s">
        <v>23</v>
      </c>
      <c r="X254" s="30" t="s">
        <v>24</v>
      </c>
    </row>
    <row r="255" spans="12:24" x14ac:dyDescent="0.25">
      <c r="L255" s="5">
        <v>2.95</v>
      </c>
      <c r="P255" s="5"/>
      <c r="Q255" s="1"/>
    </row>
  </sheetData>
  <conditionalFormatting sqref="L1:L1048576">
    <cfRule type="cellIs" dxfId="0" priority="2" operator="greaterThan">
      <formula>$N$2</formula>
    </cfRule>
  </conditionalFormatting>
  <pageMargins left="0.511811024" right="0.511811024" top="0.78740157499999996" bottom="0.78740157499999996" header="0.31496062000000002" footer="0.31496062000000002"/>
  <drawing r:id="rId7"/>
  <tableParts count="2">
    <tablePart r:id="rId8"/>
    <tablePart r:id="rId9"/>
  </tableParts>
  <extLst>
    <ext xmlns:x14="http://schemas.microsoft.com/office/spreadsheetml/2009/9/main" uri="{A8765BA9-456A-4dab-B4F3-ACF838C121DE}">
      <x14:slicerList>
        <x14:slicer r:id="rId10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C3CA3-85C3-4BCE-BF80-A219808460D3}">
  <dimension ref="X9:AC19"/>
  <sheetViews>
    <sheetView tabSelected="1" zoomScale="85" zoomScaleNormal="85" workbookViewId="0">
      <selection activeCell="AB16" sqref="AB16"/>
    </sheetView>
  </sheetViews>
  <sheetFormatPr defaultRowHeight="15" x14ac:dyDescent="0.25"/>
  <sheetData>
    <row r="9" spans="24:24" x14ac:dyDescent="0.25">
      <c r="X9" s="1"/>
    </row>
    <row r="19" spans="29:29" x14ac:dyDescent="0.25">
      <c r="AC19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Data</vt:lpstr>
      <vt:lpstr>Análise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henrique galaso dos santos</dc:creator>
  <cp:lastModifiedBy>gabriel henrique galaso dos santos</cp:lastModifiedBy>
  <dcterms:created xsi:type="dcterms:W3CDTF">2025-08-08T20:13:24Z</dcterms:created>
  <dcterms:modified xsi:type="dcterms:W3CDTF">2025-10-29T14:11:21Z</dcterms:modified>
</cp:coreProperties>
</file>